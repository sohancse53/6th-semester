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nttChart" sheetId="1" r:id="rId4"/>
    <sheet state="hidden" name="©" sheetId="2" r:id="rId5"/>
    <sheet state="visible" name="GanttChartPro" sheetId="3" r:id="rId6"/>
    <sheet state="visible" name="TermsOfUse" sheetId="4" r:id="rId7"/>
  </sheets>
  <definedNames>
    <definedName name="helpRow">GanttChart!$A$52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Terms of Use and Copyright:
See the Terms Of Use worksheet and the license agreement on Vertex42.com. Copyright notices may not be removed.</t>
      </text>
    </comment>
    <comment authorId="0" ref="A9">
      <text>
        <t xml:space="preserve">Work Breakdown Structure
Level 1: 1, 2, 3, ...
Level 2: 1.1, 1.2, 1.3, ...
Level 3: 1.1.1, 1.1.2, 1.1.3, …
The WBS is automatically entered, but the formulas are different for different levels.</t>
      </text>
    </comment>
    <comment authorId="0" ref="D9">
      <text>
        <t xml:space="preserve">Start Date
Enter the starting date for this task. To associate the start date with the end of another task, enter a formula in the start date that refers to the end date of that task.</t>
      </text>
    </comment>
    <comment authorId="0" ref="E9">
      <text>
        <t xml:space="preserve">End Date
The ending date is calculated by adding the Duration (calendar days) to the Start date minus 1 day, because the task duration is from the beginning of the Start day to the end of the End day.
</t>
      </text>
    </comment>
    <comment authorId="0" ref="F9">
      <text>
        <t xml:space="preserve">Duration (Calendar Days)
Enter the number of calendar days for the given task. Refer to the Working Days column or use a calendar to determine the corresponding working days. The duration is from the beginning of the Start date to the ending of the End Date.
When the duration is calculated, it is calculated as End Date minus the Start Date plus 1 day, so that a task starting and ending on the same day has a duration of 1 day.</t>
      </text>
    </comment>
    <comment authorId="0" ref="G9">
      <text>
        <t xml:space="preserve">Percent Complete
Update the status of this task by entering the percent complete (between 0% and 100%).</t>
      </text>
    </comment>
    <comment authorId="0" ref="H9">
      <text>
        <t xml:space="preserve">Working Days
Counts the number of working days using the NETWORKDAYS() formula, which excludes weekends. When planning work based upon the number of working days, adjust the Duration until the desired # of working days is reached.</t>
      </text>
    </comment>
    <comment authorId="0" ref="I9">
      <text>
        <t xml:space="preserve">Calendar Days Complete
This column is calculated by multiplying the Duration by the %Complete and rounding down to the nearest integer.</t>
      </text>
    </comment>
    <comment authorId="0" ref="J9">
      <text>
        <t xml:space="preserve">Calendar Days Remaining
This column is calculated by subtracting the Days Complete from the Duration.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No Warranties
THE SOFTWARE AND ANY RELATED DOCUMENTATION ARE PROVIDED TO YOU "AS IS." VERTEX42, LLC MAKES NO WARRANTIES, EXPRESS OR IMPLIED, AND EXPRESSLY DISCLAIMS ALL REPRESENTATIONS, ORAL OR WRITTEN, TERMS, CONDITIONS, AND WARRANTIES, INCLUDING BUT NOT LIMITED TO, IMPLIED WARRANTIES OF MERCHANTABILITY, FITNESS FOR A PARTICULAR PURPOSE, AND NONINFRINGEMENT. WITHOUT LIMITING THE ABOVE YOU ACCEPT THAT THE SOFTWARE MAY NOT MEET YOUR REQUIREMENTS, OPERATE ERROR FREE, OR IDENTIFY ANY OR ALL ERRORS OR PROBLEMS, OR DO SO ACCURATELY. This Agreement does not affect any statutory rights you may have as a consumer.
Limitation of Liability
IN NO EVENT SHALL VERTEX42, LLC BE LIABLE TO YOU, FOR ANY DAMAGES, INCLUDING ANY LOST PROFITS, LOST SAVINGS, OR ANY OTHER DIRECT, INDIRECT, SPECIAL, INCIDENTAL, OR CONSEQUENTIAL DAMAGES ARISING FROM THE USE OR THE INABILITY TO USE THE SOFTWARE (EVEN IF WE OR AN AUTHORIZED DEALER OR DISTRIBUTOR HAS BEEN ADVISED OF THE POSSIBILITY OF THESE DAMAGES), OR ANY MISTAKES AND NEGLIGENCE IN DEVELOPING THIS SOFTWARE, OR FOR ANY CLAIM BY ANY OTHER PARTY. THE ORGANIZATION, BUSINESS, OR PERSON USING THIS SOFTWARE BEARS ALL RISKS AND RESPONSIBILITY FOR THE QUALITY AND PERFORMANCE OF THIS SOFTWARE.
Some states do not allow the limitation or exclusion of liability for incidental or consequential damages, so the above limitation may not apply to you.
</t>
      </text>
    </comment>
  </commentList>
</comments>
</file>

<file path=xl/sharedStrings.xml><?xml version="1.0" encoding="utf-8"?>
<sst xmlns="http://schemas.openxmlformats.org/spreadsheetml/2006/main" count="129" uniqueCount="122">
  <si>
    <t>Gantt Chart</t>
  </si>
  <si>
    <t>Version 1.7.3</t>
  </si>
  <si>
    <t>© 2006-2012 Vertex42 LLC</t>
  </si>
  <si>
    <t>HELP</t>
  </si>
  <si>
    <t>Flood and Cyclone Early Warning(MERN Stack based app)</t>
  </si>
  <si>
    <t>Project Lead:</t>
  </si>
  <si>
    <t>Md. Hasibul Islam Hemel</t>
  </si>
  <si>
    <t>[42]</t>
  </si>
  <si>
    <t>Start Date:</t>
  </si>
  <si>
    <t>First Day of Week (Mon=2):</t>
  </si>
  <si>
    <t>WBS</t>
  </si>
  <si>
    <t>Tasks</t>
  </si>
  <si>
    <t>Task
Lead</t>
  </si>
  <si>
    <t>Start</t>
  </si>
  <si>
    <t>End</t>
  </si>
  <si>
    <t>Duration (Days)</t>
  </si>
  <si>
    <t>% Complete</t>
  </si>
  <si>
    <t>Working Days</t>
  </si>
  <si>
    <t>Days Complete</t>
  </si>
  <si>
    <t>Days Remaining</t>
  </si>
  <si>
    <t xml:space="preserve">Documentations and Diagrams </t>
  </si>
  <si>
    <t>SRS Submission</t>
  </si>
  <si>
    <t>ER Diagram</t>
  </si>
  <si>
    <t>DFD(Level 0)</t>
  </si>
  <si>
    <t>DFD (Level 1)</t>
  </si>
  <si>
    <t>DFD(Level 2)</t>
  </si>
  <si>
    <t>Use Case Diagram</t>
  </si>
  <si>
    <t>Class Diagram</t>
  </si>
  <si>
    <t>Activity and Sequence Diagram</t>
  </si>
  <si>
    <t>Backend Development</t>
  </si>
  <si>
    <t>Md. Shoyaif Rahman</t>
  </si>
  <si>
    <t>Setup Node.js and Express server</t>
  </si>
  <si>
    <t>Implement user authentication</t>
  </si>
  <si>
    <t>Develop alert CRUD APIs</t>
  </si>
  <si>
    <t>Integrate external weather/flood APIs</t>
  </si>
  <si>
    <t>Handle error logging and validations</t>
  </si>
  <si>
    <t>Test APIs with Postman</t>
  </si>
  <si>
    <t xml:space="preserve"> Frontend Development</t>
  </si>
  <si>
    <t>Setup React project</t>
  </si>
  <si>
    <t>Implement login/signup forms</t>
  </si>
  <si>
    <t>Create dashboard</t>
  </si>
  <si>
    <t>Implement alert details page</t>
  </si>
  <si>
    <t>Integrate notifications UI</t>
  </si>
  <si>
    <t>Implement responsive design</t>
  </si>
  <si>
    <t>Connect frontend with backend APIs</t>
  </si>
  <si>
    <t xml:space="preserve"> Integration</t>
  </si>
  <si>
    <t>Integrate frontend and backend</t>
  </si>
  <si>
    <t>Test API responses in frontend</t>
  </si>
  <si>
    <t>Implement real-time alert update flow</t>
  </si>
  <si>
    <t>Handle errors and edge cases</t>
  </si>
  <si>
    <t xml:space="preserve"> Testing</t>
  </si>
  <si>
    <t>Unit testing</t>
  </si>
  <si>
    <t>Integration testing</t>
  </si>
  <si>
    <t>User acceptance testing</t>
  </si>
  <si>
    <t xml:space="preserve">Performance testing </t>
  </si>
  <si>
    <t>Bug fixing and optimization</t>
  </si>
  <si>
    <r>
      <rPr>
        <rFont val="Arial"/>
        <b/>
        <color theme="1"/>
        <sz val="8.0"/>
      </rPr>
      <t xml:space="preserve">TEMPLATE ROWS: </t>
    </r>
    <r>
      <rPr>
        <rFont val="Arial"/>
        <b val="0"/>
        <color theme="1"/>
        <sz val="8.0"/>
      </rPr>
      <t>Copy and insert the entire section, or just the specific sub tasks, depending on which level you want to use (formulas are different for different WBS levels)</t>
    </r>
  </si>
  <si>
    <t>Task Category 1</t>
  </si>
  <si>
    <t>Sub Task level 2</t>
  </si>
  <si>
    <t>Level 3 Task</t>
  </si>
  <si>
    <t>Level 4 task</t>
  </si>
  <si>
    <t>Gantt Chart Template</t>
  </si>
  <si>
    <t>© 2008-2009 Vertex42 LLC</t>
  </si>
  <si>
    <t>http://www.vertex42.com/ExcelTemplates/excel-gantt-chart.html</t>
  </si>
  <si>
    <t>Gantt Chart Template Pro</t>
  </si>
  <si>
    <r>
      <rPr>
        <rFont val="Arial"/>
        <b/>
        <color theme="1"/>
        <sz val="10.0"/>
      </rPr>
      <t>Gantt Chart Template Pro</t>
    </r>
    <r>
      <rPr>
        <rFont val="Arial"/>
        <b val="0"/>
        <color theme="1"/>
        <sz val="10.0"/>
      </rPr>
      <t xml:space="preserve"> is similar to this free version,</t>
    </r>
  </si>
  <si>
    <t xml:space="preserve">but it is unlocked, more feature-packed, and includes other </t>
  </si>
  <si>
    <t>bonus content such as sample project schedules.</t>
  </si>
  <si>
    <t>Already spent a lot of time working with this free version?</t>
  </si>
  <si>
    <t>That's okay. In addition to downloading the Gantt Chart Template Pro</t>
  </si>
  <si>
    <t>files, you will be given the password for unlocking this spreadsheet.</t>
  </si>
  <si>
    <t>Learn More About Gantt Chart Template Pro</t>
  </si>
  <si>
    <t xml:space="preserve"> - View screenshots</t>
  </si>
  <si>
    <t xml:space="preserve"> - Watch demo videos</t>
  </si>
  <si>
    <t>Benefits and Features of Gantt Chart Template Pro</t>
  </si>
  <si>
    <r>
      <rPr>
        <rFont val="Arial"/>
        <b/>
        <color theme="1"/>
        <sz val="11.0"/>
      </rPr>
      <t>Unlocked</t>
    </r>
    <r>
      <rPr>
        <rFont val="Arial"/>
        <b val="0"/>
        <color theme="1"/>
        <sz val="11.0"/>
      </rPr>
      <t xml:space="preserve"> (worksheets are not password-protected)</t>
    </r>
  </si>
  <si>
    <t>By unlocking the free version or using Gantt Chart Template Pro, you will be able to use</t>
  </si>
  <si>
    <t>all of the functions and features available in Excel, such as formatting cells, inserting</t>
  </si>
  <si>
    <t>columns, and grouping rows.</t>
  </si>
  <si>
    <t>More Ways to Define a Task</t>
  </si>
  <si>
    <t>Choose from a larger set of template rows that provide more options for</t>
  </si>
  <si>
    <t>defining the Start date, End date, duration, and dependency of tasks.</t>
  </si>
  <si>
    <t>Define a task based on the …</t>
  </si>
  <si>
    <t xml:space="preserve"> - Start date and End date</t>
  </si>
  <si>
    <t xml:space="preserve"> - Start date and Work days</t>
  </si>
  <si>
    <t xml:space="preserve"> - Start date and Calendar days</t>
  </si>
  <si>
    <t xml:space="preserve"> - Predecessor and End date</t>
  </si>
  <si>
    <t xml:space="preserve"> - Predecessor and Work days</t>
  </si>
  <si>
    <t xml:space="preserve"> - Predecessor and Calendar days</t>
  </si>
  <si>
    <t>Easily Create Task Dependencies</t>
  </si>
  <si>
    <t>Though you can still use your own formulas for creating task dependencies,</t>
  </si>
  <si>
    <t>the new Predecessor options make it very simple. One of the demo videos</t>
  </si>
  <si>
    <t>discusses this in detail.</t>
  </si>
  <si>
    <t>Exclude Holidays from Work Days</t>
  </si>
  <si>
    <t>List holidays in a separate sheet that you want to exclude from work days.</t>
  </si>
  <si>
    <t>Sample Project Schedules</t>
  </si>
  <si>
    <t>To get a head start on defining your project schedule, you can use</t>
  </si>
  <si>
    <t>one of the 3 sample gantt charts:</t>
  </si>
  <si>
    <t xml:space="preserve"> - Home Construction Project Schedule</t>
  </si>
  <si>
    <t xml:space="preserve"> - Custom Software Project Schedule</t>
  </si>
  <si>
    <t xml:space="preserve"> - Website Development Project Schedule</t>
  </si>
  <si>
    <t>New Excel 2007+ Version (XLSX)</t>
  </si>
  <si>
    <t>In addition to Gantt Chart Template Pro for Excel 2003, you will be able to download</t>
  </si>
  <si>
    <t>an XLSX version, for Excel 2007 or later, that allows you to easily color-code the</t>
  </si>
  <si>
    <t>bars of the gantt chart.</t>
  </si>
  <si>
    <t>Terms of Use</t>
  </si>
  <si>
    <t>© 2006 - 2012 Vertex42 LLC. All rights reserved.</t>
  </si>
  <si>
    <t>This template is considered a copyrighted work under the Unites States and other copyright laws and is the property of Vertex42 LLC. The items listed below are additional points to help clarify how you may use this template.</t>
  </si>
  <si>
    <t>Not for Resale or Public Sharing</t>
  </si>
  <si>
    <r>
      <rPr>
        <rFont val="Arial"/>
        <b val="0"/>
        <color theme="1"/>
        <sz val="12.0"/>
      </rPr>
      <t xml:space="preserve">You may make archival copies and customize this template only for your </t>
    </r>
    <r>
      <rPr>
        <rFont val="Arial"/>
        <b/>
        <color theme="1"/>
        <sz val="12.0"/>
      </rPr>
      <t>personal use or use within your company or organization</t>
    </r>
    <r>
      <rPr>
        <rFont val="Arial"/>
        <b val="0"/>
        <color theme="1"/>
        <sz val="12.0"/>
      </rPr>
      <t xml:space="preserve"> and not for resale or public sharing.</t>
    </r>
  </si>
  <si>
    <t>You may not remove or alter any logo, trademark, copyright, disclaimer, brand, terms of use, attribution, or other proprietary notices or marks within this template.</t>
  </si>
  <si>
    <r>
      <rPr>
        <rFont val="Arial"/>
        <b/>
        <color theme="1"/>
        <sz val="12.0"/>
      </rPr>
      <t xml:space="preserve">This template and any customized or modified version of this template </t>
    </r>
    <r>
      <rPr>
        <rFont val="Arial"/>
        <b/>
        <color rgb="FFFF0000"/>
        <sz val="12.0"/>
      </rPr>
      <t>may NOT be sold, distributed, published to an online gallery, hosted on a website, or placed on a public server</t>
    </r>
    <r>
      <rPr>
        <rFont val="Arial"/>
        <b/>
        <color theme="1"/>
        <sz val="12.0"/>
      </rPr>
      <t>.</t>
    </r>
  </si>
  <si>
    <t>Limited Private Sharing</t>
  </si>
  <si>
    <r>
      <rPr>
        <rFont val="Arial"/>
        <color theme="1"/>
        <sz val="12.0"/>
      </rPr>
      <t xml:space="preserve">Provided that you observe the above terms, you may share your edited version of this template </t>
    </r>
    <r>
      <rPr>
        <rFont val="Arial"/>
        <b/>
        <color theme="1"/>
        <sz val="12.0"/>
      </rPr>
      <t>*privately*</t>
    </r>
    <r>
      <rPr>
        <rFont val="Arial"/>
        <color theme="1"/>
        <sz val="12.0"/>
      </rPr>
      <t xml:space="preserve"> with those specific people who </t>
    </r>
    <r>
      <rPr>
        <rFont val="Arial"/>
        <b/>
        <color theme="1"/>
        <sz val="12.0"/>
      </rPr>
      <t>**require**</t>
    </r>
    <r>
      <rPr>
        <rFont val="Arial"/>
        <color theme="1"/>
        <sz val="12.0"/>
      </rPr>
      <t xml:space="preserve"> access to it within your immediate family, organization, or company.</t>
    </r>
  </si>
  <si>
    <r>
      <rPr>
        <rFont val="Arial"/>
        <color theme="1"/>
        <sz val="12.0"/>
      </rPr>
      <t xml:space="preserve">* "Privately" means only accessible to those few people who you expressively give permission to view or edit your file. It is your responsibility to ensure that adequate security measures are used so that your file is </t>
    </r>
    <r>
      <rPr>
        <rFont val="Arial"/>
        <b/>
        <color theme="1"/>
        <sz val="12.0"/>
      </rPr>
      <t>not available to the public</t>
    </r>
    <r>
      <rPr>
        <rFont val="Arial"/>
        <color theme="1"/>
        <sz val="12.0"/>
      </rPr>
      <t>.</t>
    </r>
  </si>
  <si>
    <t>** Examples of acceptable private sharing with people who "require access" may include (a) sharing a budget spreadsheet with a spouse, (b) sharing a project schedule with your project team, or (c) sharing a timesheet with your employee or manager.</t>
  </si>
  <si>
    <t>See the following page on Vertex42.com for the complete license agreement and examples of other allowed uses:</t>
  </si>
  <si>
    <t>http://www.vertex42.com/licensing/EULA_privateuse.html</t>
  </si>
  <si>
    <t>Disclaimer</t>
  </si>
  <si>
    <t>This template is provided for informational or educational use only and is not intended to be relied on as medical, financial, legal, or other professional advice.</t>
  </si>
  <si>
    <t>Vertex42 LLC makes no guarantee or representations about this template, or the accuracy or completeness of the content contained within this template.</t>
  </si>
  <si>
    <t>Vertex42 LLC encourages you to seek the aid of a qualified professional before making decisions regarding health, financial, or legal issues.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</si>
</sst>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 \-\ mmm\ \-\ yy"/>
    <numFmt numFmtId="166" formatCode="m/d/yy"/>
    <numFmt numFmtId="167" formatCode="d/m/yy"/>
  </numFmts>
  <fonts count="30">
    <font>
      <sz val="10.0"/>
      <color rgb="FF000000"/>
      <name val="Arial"/>
      <scheme val="minor"/>
    </font>
    <font>
      <b/>
      <sz val="18.0"/>
      <color rgb="FF003366"/>
      <name val="Trebuchet MS"/>
    </font>
    <font>
      <b/>
      <sz val="14.0"/>
      <color rgb="FF800000"/>
      <name val="Trebuchet MS"/>
    </font>
    <font>
      <sz val="8.0"/>
      <color rgb="FF800000"/>
      <name val="Trebuchet MS"/>
    </font>
    <font>
      <sz val="7.0"/>
      <color theme="1"/>
      <name val="Arial"/>
    </font>
    <font/>
    <font>
      <sz val="8.0"/>
      <color rgb="FFC0C0C0"/>
      <name val="Arial"/>
    </font>
    <font>
      <sz val="10.0"/>
      <color theme="1"/>
      <name val="Arial"/>
    </font>
    <font>
      <u/>
      <sz val="8.0"/>
      <color rgb="FF0000FF"/>
      <name val="Arial"/>
    </font>
    <font>
      <b/>
      <sz val="12.0"/>
      <color theme="1"/>
      <name val="Arial"/>
    </font>
    <font>
      <sz val="8.0"/>
      <color theme="1"/>
      <name val="Arial"/>
    </font>
    <font>
      <sz val="6.0"/>
      <color rgb="FFFFFFFF"/>
      <name val="Arial"/>
    </font>
    <font>
      <i/>
      <sz val="8.0"/>
      <color theme="1"/>
      <name val="Arial"/>
    </font>
    <font>
      <i/>
      <sz val="10.0"/>
      <color rgb="FFFFFFFF"/>
      <name val="Arial"/>
    </font>
    <font>
      <sz val="10.0"/>
      <color rgb="FFFFFFFF"/>
      <name val="Arial"/>
    </font>
    <font>
      <b/>
      <sz val="8.0"/>
      <color theme="1"/>
      <name val="Arial"/>
    </font>
    <font>
      <b/>
      <sz val="10.0"/>
      <color theme="1"/>
      <name val="Arial"/>
    </font>
    <font>
      <b/>
      <sz val="8.0"/>
      <color theme="1"/>
      <name val="Arial Narrow"/>
    </font>
    <font>
      <sz val="8.0"/>
      <color theme="1"/>
      <name val="Arial Narrow"/>
    </font>
    <font>
      <sz val="12.0"/>
      <color theme="1"/>
      <name val="Arial"/>
    </font>
    <font>
      <color theme="1"/>
      <name val="Arial"/>
      <scheme val="minor"/>
    </font>
    <font>
      <u/>
      <sz val="10.0"/>
      <color rgb="FF0000FF"/>
      <name val="Arial"/>
    </font>
    <font>
      <sz val="16.0"/>
      <color theme="1"/>
      <name val="Arial"/>
    </font>
    <font>
      <u/>
      <sz val="14.0"/>
      <color rgb="FF0000FF"/>
      <name val="Arial"/>
    </font>
    <font>
      <b/>
      <i/>
      <sz val="10.0"/>
      <color theme="1"/>
      <name val="Arial"/>
    </font>
    <font>
      <b/>
      <sz val="11.0"/>
      <color theme="1"/>
      <name val="Arial"/>
    </font>
    <font>
      <sz val="24.0"/>
      <color theme="1"/>
      <name val="Arial"/>
    </font>
    <font>
      <u/>
      <sz val="12.0"/>
      <color theme="1"/>
      <name val="Arial"/>
    </font>
    <font>
      <sz val="14.0"/>
      <color theme="1"/>
      <name val="Arial"/>
    </font>
    <font>
      <u/>
      <sz val="12.0"/>
      <color rgb="FF0000FF"/>
      <name val="Arial"/>
    </font>
  </fonts>
  <fills count="6">
    <fill>
      <patternFill patternType="none"/>
    </fill>
    <fill>
      <patternFill patternType="lightGray"/>
    </fill>
    <fill>
      <patternFill patternType="solid">
        <fgColor rgb="FFEAEAEA"/>
        <bgColor rgb="FFEAEAEA"/>
      </patternFill>
    </fill>
    <fill>
      <patternFill patternType="solid">
        <fgColor rgb="FFFFFFFF"/>
        <bgColor rgb="FFFFFFFF"/>
      </patternFill>
    </fill>
    <fill>
      <patternFill patternType="solid">
        <fgColor rgb="FF99FF99"/>
        <bgColor rgb="FF99FF99"/>
      </patternFill>
    </fill>
    <fill>
      <patternFill patternType="solid">
        <fgColor rgb="FFCCFFCC"/>
        <bgColor rgb="FFCCFFCC"/>
      </patternFill>
    </fill>
  </fills>
  <borders count="16">
    <border/>
    <border>
      <left/>
      <right/>
      <top/>
      <bottom/>
    </border>
    <border>
      <left/>
      <top/>
      <bottom/>
    </border>
    <border>
      <top/>
      <bottom/>
    </border>
    <border>
      <right/>
      <top/>
      <bottom/>
    </border>
    <border>
      <bottom style="thin">
        <color rgb="FF000000"/>
      </bottom>
    </border>
    <border>
      <top style="thin">
        <color rgb="FF000000"/>
      </top>
      <bottom style="thin">
        <color rgb="FF000000"/>
      </bottom>
    </border>
    <border>
      <left style="thin">
        <color rgb="FFC0C0C0"/>
      </left>
      <bottom style="thin">
        <color rgb="FF000000"/>
      </bottom>
    </border>
    <border>
      <right style="thin">
        <color rgb="FFC0C0C0"/>
      </right>
      <bottom style="thin">
        <color rgb="FF000000"/>
      </bottom>
    </border>
    <border>
      <left/>
      <right/>
      <top/>
      <bottom style="thin">
        <color rgb="FFEAEAEA"/>
      </bottom>
    </border>
    <border>
      <top style="thin">
        <color rgb="FFEAEAEA"/>
      </top>
      <bottom style="thin">
        <color rgb="FFEAEAEA"/>
      </bottom>
    </border>
    <border>
      <left/>
      <right/>
      <top style="thin">
        <color rgb="FFEAEAEA"/>
      </top>
      <bottom style="thin">
        <color rgb="FFEAEAEA"/>
      </bottom>
    </border>
    <border>
      <left/>
      <right/>
      <bottom style="thin">
        <color rgb="FFEAEAEA"/>
      </bottom>
    </border>
    <border>
      <bottom style="thin">
        <color rgb="FFEAEAEA"/>
      </bottom>
    </border>
    <border>
      <bottom style="dotted">
        <color rgb="FF000000"/>
      </bottom>
    </border>
    <border>
      <left/>
      <right/>
      <top style="thin">
        <color rgb="FF000000"/>
      </top>
      <bottom style="dotted">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1" fillId="2" fontId="2" numFmtId="0" xfId="0" applyAlignment="1" applyBorder="1" applyFont="1">
      <alignment shrinkToFit="0" vertical="center" wrapText="0"/>
    </xf>
    <xf borderId="1" fillId="2" fontId="3" numFmtId="0" xfId="0" applyAlignment="1" applyBorder="1" applyFont="1">
      <alignment shrinkToFit="0" vertical="bottom" wrapText="0"/>
    </xf>
    <xf borderId="2" fillId="2" fontId="4" numFmtId="0" xfId="0" applyAlignment="1" applyBorder="1" applyFont="1">
      <alignment horizontal="right" shrinkToFit="0" vertical="bottom" wrapText="0"/>
    </xf>
    <xf borderId="3" fillId="0" fontId="5" numFmtId="0" xfId="0" applyBorder="1" applyFont="1"/>
    <xf borderId="4" fillId="0" fontId="5" numFmtId="0" xfId="0" applyBorder="1" applyFont="1"/>
    <xf borderId="1" fillId="3" fontId="6" numFmtId="0" xfId="0" applyAlignment="1" applyBorder="1" applyFill="1" applyFont="1">
      <alignment horizontal="right" shrinkToFit="0" vertical="bottom" wrapText="0"/>
    </xf>
    <xf borderId="0" fillId="0" fontId="7" numFmtId="0" xfId="0" applyAlignment="1" applyFont="1">
      <alignment shrinkToFit="0" vertical="bottom" wrapText="0"/>
    </xf>
    <xf borderId="1" fillId="3" fontId="7" numFmtId="0" xfId="0" applyAlignment="1" applyBorder="1" applyFont="1">
      <alignment shrinkToFit="0" vertical="bottom" wrapText="0"/>
    </xf>
    <xf borderId="2" fillId="3" fontId="8" numFmtId="0" xfId="0" applyAlignment="1" applyBorder="1" applyFont="1">
      <alignment horizontal="right" shrinkToFit="0" vertical="bottom" wrapText="0"/>
    </xf>
    <xf borderId="0" fillId="0" fontId="9" numFmtId="0" xfId="0" applyAlignment="1" applyFont="1">
      <alignment readingOrder="0" shrinkToFit="0" vertical="bottom" wrapText="0"/>
    </xf>
    <xf borderId="0" fillId="0" fontId="7" numFmtId="0" xfId="0" applyAlignment="1" applyFont="1">
      <alignment horizontal="right" shrinkToFit="0" vertical="bottom" wrapText="0"/>
    </xf>
    <xf borderId="0" fillId="0" fontId="10" numFmtId="0" xfId="0" applyAlignment="1" applyFont="1">
      <alignment shrinkToFit="0" vertical="bottom" wrapText="0"/>
    </xf>
    <xf borderId="0" fillId="0" fontId="10" numFmtId="164" xfId="0" applyAlignment="1" applyFont="1" applyNumberFormat="1">
      <alignment horizontal="left" shrinkToFit="0" vertical="bottom" wrapText="0"/>
    </xf>
    <xf borderId="5" fillId="0" fontId="7" numFmtId="0" xfId="0" applyAlignment="1" applyBorder="1" applyFont="1">
      <alignment horizontal="left" readingOrder="0" shrinkToFit="0" vertical="bottom" wrapText="0"/>
    </xf>
    <xf borderId="5" fillId="0" fontId="5" numFmtId="0" xfId="0" applyBorder="1" applyFont="1"/>
    <xf borderId="0" fillId="0" fontId="11" numFmtId="0" xfId="0" applyAlignment="1" applyFont="1">
      <alignment shrinkToFit="0" vertical="bottom" wrapText="0"/>
    </xf>
    <xf borderId="6" fillId="0" fontId="7" numFmtId="164" xfId="0" applyAlignment="1" applyBorder="1" applyFont="1" applyNumberFormat="1">
      <alignment horizontal="left" readingOrder="0" shrinkToFit="0" vertical="bottom" wrapText="0"/>
    </xf>
    <xf borderId="6" fillId="0" fontId="5" numFmtId="0" xfId="0" applyBorder="1" applyFont="1"/>
    <xf borderId="0" fillId="0" fontId="7" numFmtId="164" xfId="0" applyAlignment="1" applyFont="1" applyNumberFormat="1">
      <alignment horizontal="left" shrinkToFit="0" vertical="bottom" wrapText="0"/>
    </xf>
    <xf borderId="1" fillId="3" fontId="12" numFmtId="0" xfId="0" applyAlignment="1" applyBorder="1" applyFont="1">
      <alignment horizontal="right" shrinkToFit="0" vertical="bottom" wrapText="0"/>
    </xf>
    <xf borderId="1" fillId="3" fontId="10" numFmtId="0" xfId="0" applyAlignment="1" applyBorder="1" applyFont="1">
      <alignment horizontal="center" shrinkToFit="0" vertical="bottom" wrapText="0"/>
    </xf>
    <xf borderId="0" fillId="0" fontId="13" numFmtId="164" xfId="0" applyAlignment="1" applyFont="1" applyNumberFormat="1">
      <alignment shrinkToFit="0" vertical="bottom" wrapText="0"/>
    </xf>
    <xf borderId="0" fillId="0" fontId="14" numFmtId="164" xfId="0" applyAlignment="1" applyFont="1" applyNumberFormat="1">
      <alignment shrinkToFit="0" vertical="bottom" wrapText="0"/>
    </xf>
    <xf borderId="0" fillId="0" fontId="14" numFmtId="0" xfId="0" applyAlignment="1" applyFont="1">
      <alignment shrinkToFit="0" vertical="bottom" wrapText="0"/>
    </xf>
    <xf borderId="5" fillId="0" fontId="15" numFmtId="0" xfId="0" applyAlignment="1" applyBorder="1" applyFont="1">
      <alignment shrinkToFit="0" vertical="bottom" wrapText="0"/>
    </xf>
    <xf borderId="5" fillId="0" fontId="15" numFmtId="0" xfId="0" applyAlignment="1" applyBorder="1" applyFont="1">
      <alignment horizontal="center" shrinkToFit="0" vertical="bottom" wrapText="0"/>
    </xf>
    <xf borderId="5" fillId="0" fontId="15" numFmtId="0" xfId="0" applyAlignment="1" applyBorder="1" applyFont="1">
      <alignment horizontal="left" shrinkToFit="0" vertical="bottom" wrapText="1"/>
    </xf>
    <xf borderId="5" fillId="0" fontId="16" numFmtId="0" xfId="0" applyAlignment="1" applyBorder="1" applyFont="1">
      <alignment horizontal="center" shrinkToFit="0" vertical="bottom" wrapText="0"/>
    </xf>
    <xf borderId="5" fillId="0" fontId="7" numFmtId="0" xfId="0" applyAlignment="1" applyBorder="1" applyFont="1">
      <alignment horizontal="center" shrinkToFit="0" textRotation="90" vertical="bottom" wrapText="1"/>
    </xf>
    <xf borderId="5" fillId="0" fontId="7" numFmtId="0" xfId="0" applyAlignment="1" applyBorder="1" applyFont="1">
      <alignment horizontal="center" shrinkToFit="0" textRotation="90" vertical="bottom" wrapText="0"/>
    </xf>
    <xf borderId="5" fillId="0" fontId="7" numFmtId="0" xfId="0" applyAlignment="1" applyBorder="1" applyFont="1">
      <alignment shrinkToFit="0" vertical="bottom" wrapText="0"/>
    </xf>
    <xf borderId="7" fillId="0" fontId="10" numFmtId="165" xfId="0" applyAlignment="1" applyBorder="1" applyFont="1" applyNumberFormat="1">
      <alignment horizontal="center" shrinkToFit="0" textRotation="90" vertical="center" wrapText="0"/>
    </xf>
    <xf borderId="8" fillId="0" fontId="5" numFmtId="0" xfId="0" applyBorder="1" applyFont="1"/>
    <xf borderId="9" fillId="2" fontId="15" numFmtId="0" xfId="0" applyAlignment="1" applyBorder="1" applyFont="1">
      <alignment horizontal="left" shrinkToFit="0" vertical="bottom" wrapText="0"/>
    </xf>
    <xf borderId="9" fillId="2" fontId="17" numFmtId="0" xfId="0" applyAlignment="1" applyBorder="1" applyFont="1">
      <alignment readingOrder="0" shrinkToFit="0" vertical="bottom" wrapText="1"/>
    </xf>
    <xf borderId="9" fillId="2" fontId="18" numFmtId="0" xfId="0" applyAlignment="1" applyBorder="1" applyFont="1">
      <alignment readingOrder="0" shrinkToFit="0" vertical="bottom" wrapText="0"/>
    </xf>
    <xf borderId="9" fillId="4" fontId="10" numFmtId="166" xfId="0" applyAlignment="1" applyBorder="1" applyFill="1" applyFont="1" applyNumberFormat="1">
      <alignment horizontal="right" readingOrder="0" shrinkToFit="0" vertical="bottom" wrapText="0"/>
    </xf>
    <xf borderId="9" fillId="2" fontId="10" numFmtId="166" xfId="0" applyAlignment="1" applyBorder="1" applyFont="1" applyNumberFormat="1">
      <alignment horizontal="right" readingOrder="0" shrinkToFit="0" vertical="bottom" wrapText="0"/>
    </xf>
    <xf borderId="9" fillId="4" fontId="10" numFmtId="1" xfId="0" applyAlignment="1" applyBorder="1" applyFont="1" applyNumberFormat="1">
      <alignment horizontal="center" shrinkToFit="0" vertical="bottom" wrapText="0"/>
    </xf>
    <xf borderId="9" fillId="4" fontId="10" numFmtId="9" xfId="0" applyAlignment="1" applyBorder="1" applyFont="1" applyNumberFormat="1">
      <alignment horizontal="center" readingOrder="0" shrinkToFit="0" vertical="bottom" wrapText="0"/>
    </xf>
    <xf borderId="9" fillId="2" fontId="10" numFmtId="1" xfId="0" applyAlignment="1" applyBorder="1" applyFont="1" applyNumberFormat="1">
      <alignment horizontal="center" shrinkToFit="0" vertical="bottom" wrapText="0"/>
    </xf>
    <xf borderId="9" fillId="2" fontId="10" numFmtId="0" xfId="0" applyAlignment="1" applyBorder="1" applyFont="1">
      <alignment shrinkToFit="0" vertical="bottom" wrapText="0"/>
    </xf>
    <xf borderId="10" fillId="0" fontId="10" numFmtId="0" xfId="0" applyAlignment="1" applyBorder="1" applyFont="1">
      <alignment horizontal="left" shrinkToFit="0" vertical="bottom" wrapText="0"/>
    </xf>
    <xf borderId="10" fillId="0" fontId="18" numFmtId="0" xfId="0" applyAlignment="1" applyBorder="1" applyFont="1">
      <alignment readingOrder="0" shrinkToFit="0" vertical="bottom" wrapText="1"/>
    </xf>
    <xf borderId="10" fillId="0" fontId="18" numFmtId="0" xfId="0" applyAlignment="1" applyBorder="1" applyFont="1">
      <alignment shrinkToFit="0" vertical="bottom" wrapText="0"/>
    </xf>
    <xf borderId="11" fillId="5" fontId="10" numFmtId="167" xfId="0" applyAlignment="1" applyBorder="1" applyFill="1" applyFont="1" applyNumberFormat="1">
      <alignment horizontal="right" readingOrder="0" shrinkToFit="0" vertical="bottom" wrapText="0"/>
    </xf>
    <xf borderId="10" fillId="0" fontId="10" numFmtId="166" xfId="0" applyAlignment="1" applyBorder="1" applyFont="1" applyNumberFormat="1">
      <alignment horizontal="right" readingOrder="0" shrinkToFit="0" vertical="bottom" wrapText="0"/>
    </xf>
    <xf borderId="11" fillId="5" fontId="10" numFmtId="1" xfId="0" applyAlignment="1" applyBorder="1" applyFont="1" applyNumberFormat="1">
      <alignment horizontal="center" shrinkToFit="0" vertical="bottom" wrapText="0"/>
    </xf>
    <xf borderId="11" fillId="5" fontId="10" numFmtId="9" xfId="0" applyAlignment="1" applyBorder="1" applyFont="1" applyNumberFormat="1">
      <alignment horizontal="center" readingOrder="0" shrinkToFit="0" vertical="bottom" wrapText="0"/>
    </xf>
    <xf borderId="10" fillId="0" fontId="10" numFmtId="1" xfId="0" applyAlignment="1" applyBorder="1" applyFont="1" applyNumberFormat="1">
      <alignment horizontal="center" shrinkToFit="0" vertical="bottom" wrapText="0"/>
    </xf>
    <xf borderId="10" fillId="0" fontId="10" numFmtId="0" xfId="0" applyAlignment="1" applyBorder="1" applyFont="1">
      <alignment shrinkToFit="0" vertical="bottom" wrapText="0"/>
    </xf>
    <xf borderId="11" fillId="5" fontId="10" numFmtId="166" xfId="0" applyAlignment="1" applyBorder="1" applyFont="1" applyNumberFormat="1">
      <alignment horizontal="right" readingOrder="0" shrinkToFit="0" vertical="bottom" wrapText="0"/>
    </xf>
    <xf borderId="10" fillId="0" fontId="18" numFmtId="0" xfId="0" applyAlignment="1" applyBorder="1" applyFont="1">
      <alignment horizontal="left" readingOrder="0" shrinkToFit="0" vertical="bottom" wrapText="1"/>
    </xf>
    <xf borderId="10" fillId="0" fontId="10" numFmtId="0" xfId="0" applyAlignment="1" applyBorder="1" applyFont="1">
      <alignment horizontal="left" readingOrder="0" shrinkToFit="0" vertical="bottom" wrapText="0"/>
    </xf>
    <xf borderId="12" fillId="5" fontId="10" numFmtId="166" xfId="0" applyAlignment="1" applyBorder="1" applyFont="1" applyNumberFormat="1">
      <alignment horizontal="right" readingOrder="0" shrinkToFit="0" vertical="bottom" wrapText="0"/>
    </xf>
    <xf borderId="13" fillId="0" fontId="10" numFmtId="166" xfId="0" applyAlignment="1" applyBorder="1" applyFont="1" applyNumberFormat="1">
      <alignment horizontal="right" readingOrder="0" shrinkToFit="0" vertical="bottom" wrapText="0"/>
    </xf>
    <xf borderId="11" fillId="5" fontId="10" numFmtId="9" xfId="0" applyAlignment="1" applyBorder="1" applyFont="1" applyNumberFormat="1">
      <alignment horizontal="center" shrinkToFit="0" vertical="bottom" wrapText="0"/>
    </xf>
    <xf borderId="11" fillId="2" fontId="15" numFmtId="0" xfId="0" applyAlignment="1" applyBorder="1" applyFont="1">
      <alignment horizontal="left" shrinkToFit="0" vertical="bottom" wrapText="0"/>
    </xf>
    <xf borderId="11" fillId="2" fontId="17" numFmtId="0" xfId="0" applyAlignment="1" applyBorder="1" applyFont="1">
      <alignment readingOrder="0" shrinkToFit="0" vertical="bottom" wrapText="1"/>
    </xf>
    <xf borderId="11" fillId="2" fontId="18" numFmtId="0" xfId="0" applyAlignment="1" applyBorder="1" applyFont="1">
      <alignment readingOrder="0" shrinkToFit="0" vertical="bottom" wrapText="0"/>
    </xf>
    <xf borderId="9" fillId="4" fontId="10" numFmtId="166" xfId="0" applyAlignment="1" applyBorder="1" applyFont="1" applyNumberFormat="1">
      <alignment horizontal="right" shrinkToFit="0" vertical="bottom" wrapText="0"/>
    </xf>
    <xf borderId="11" fillId="4" fontId="10" numFmtId="1" xfId="0" applyAlignment="1" applyBorder="1" applyFont="1" applyNumberFormat="1">
      <alignment horizontal="center" shrinkToFit="0" vertical="bottom" wrapText="0"/>
    </xf>
    <xf borderId="11" fillId="4" fontId="10" numFmtId="9" xfId="0" applyAlignment="1" applyBorder="1" applyFont="1" applyNumberFormat="1">
      <alignment horizontal="center" shrinkToFit="0" vertical="bottom" wrapText="0"/>
    </xf>
    <xf borderId="11" fillId="2" fontId="10" numFmtId="1" xfId="0" applyAlignment="1" applyBorder="1" applyFont="1" applyNumberFormat="1">
      <alignment horizontal="center" shrinkToFit="0" vertical="bottom" wrapText="0"/>
    </xf>
    <xf borderId="11" fillId="2" fontId="10" numFmtId="0" xfId="0" applyAlignment="1" applyBorder="1" applyFont="1">
      <alignment shrinkToFit="0" vertical="bottom" wrapText="0"/>
    </xf>
    <xf borderId="10" fillId="0" fontId="10" numFmtId="167" xfId="0" applyAlignment="1" applyBorder="1" applyFont="1" applyNumberFormat="1">
      <alignment horizontal="right" readingOrder="0" shrinkToFit="0" vertical="bottom" wrapText="0"/>
    </xf>
    <xf borderId="9" fillId="2" fontId="10" numFmtId="166" xfId="0" applyAlignment="1" applyBorder="1" applyFont="1" applyNumberFormat="1">
      <alignment horizontal="right" shrinkToFit="0" vertical="bottom" wrapText="0"/>
    </xf>
    <xf borderId="10" fillId="0" fontId="18" numFmtId="167" xfId="0" applyAlignment="1" applyBorder="1" applyFont="1" applyNumberFormat="1">
      <alignment readingOrder="0" shrinkToFit="0" vertical="bottom" wrapText="0"/>
    </xf>
    <xf borderId="12" fillId="5" fontId="10" numFmtId="166" xfId="0" applyAlignment="1" applyBorder="1" applyFont="1" applyNumberFormat="1">
      <alignment horizontal="right" shrinkToFit="0" vertical="bottom" wrapText="0"/>
    </xf>
    <xf borderId="13" fillId="0" fontId="10" numFmtId="166" xfId="0" applyAlignment="1" applyBorder="1" applyFont="1" applyNumberFormat="1">
      <alignment horizontal="right" shrinkToFit="0" vertical="bottom" wrapText="0"/>
    </xf>
    <xf borderId="0" fillId="0" fontId="10" numFmtId="0" xfId="0" applyAlignment="1" applyFont="1">
      <alignment horizontal="left" readingOrder="0" shrinkToFit="0" vertical="bottom" wrapText="0"/>
    </xf>
    <xf borderId="0" fillId="0" fontId="18" numFmtId="0" xfId="0" applyAlignment="1" applyFont="1">
      <alignment readingOrder="0" shrinkToFit="0" vertical="bottom" wrapText="1"/>
    </xf>
    <xf borderId="0" fillId="0" fontId="18" numFmtId="0" xfId="0" applyAlignment="1" applyFont="1">
      <alignment shrinkToFit="0" vertical="bottom" wrapText="0"/>
    </xf>
    <xf borderId="0" fillId="5" fontId="10" numFmtId="166" xfId="0" applyAlignment="1" applyFont="1" applyNumberFormat="1">
      <alignment horizontal="right" shrinkToFit="0" vertical="bottom" wrapText="0"/>
    </xf>
    <xf borderId="0" fillId="0" fontId="10" numFmtId="166" xfId="0" applyAlignment="1" applyFont="1" applyNumberFormat="1">
      <alignment horizontal="right" shrinkToFit="0" vertical="bottom" wrapText="0"/>
    </xf>
    <xf borderId="0" fillId="5" fontId="10" numFmtId="1" xfId="0" applyAlignment="1" applyFont="1" applyNumberFormat="1">
      <alignment horizontal="center" shrinkToFit="0" vertical="bottom" wrapText="0"/>
    </xf>
    <xf borderId="0" fillId="5" fontId="10" numFmtId="9" xfId="0" applyAlignment="1" applyFont="1" applyNumberFormat="1">
      <alignment horizontal="center" shrinkToFit="0" vertical="bottom" wrapText="0"/>
    </xf>
    <xf borderId="0" fillId="0" fontId="10" numFmtId="1" xfId="0" applyAlignment="1" applyFont="1" applyNumberFormat="1">
      <alignment horizontal="center" shrinkToFit="0" vertical="bottom" wrapText="0"/>
    </xf>
    <xf borderId="11" fillId="5" fontId="10" numFmtId="166" xfId="0" applyAlignment="1" applyBorder="1" applyFont="1" applyNumberFormat="1">
      <alignment horizontal="right" shrinkToFit="0" vertical="bottom" wrapText="0"/>
    </xf>
    <xf borderId="10" fillId="0" fontId="10" numFmtId="166" xfId="0" applyAlignment="1" applyBorder="1" applyFont="1" applyNumberFormat="1">
      <alignment horizontal="right" shrinkToFit="0" vertical="bottom" wrapText="0"/>
    </xf>
    <xf borderId="0" fillId="0" fontId="15" numFmtId="0" xfId="0" applyAlignment="1" applyFont="1">
      <alignment shrinkToFit="0" vertical="bottom" wrapText="0"/>
    </xf>
    <xf borderId="11" fillId="2" fontId="17" numFmtId="0" xfId="0" applyAlignment="1" applyBorder="1" applyFont="1">
      <alignment shrinkToFit="0" vertical="bottom" wrapText="1"/>
    </xf>
    <xf borderId="11" fillId="2" fontId="18" numFmtId="0" xfId="0" applyAlignment="1" applyBorder="1" applyFont="1">
      <alignment shrinkToFit="0" vertical="bottom" wrapText="0"/>
    </xf>
    <xf borderId="11" fillId="4" fontId="10" numFmtId="166" xfId="0" applyAlignment="1" applyBorder="1" applyFont="1" applyNumberFormat="1">
      <alignment horizontal="right" shrinkToFit="0" vertical="bottom" wrapText="0"/>
    </xf>
    <xf borderId="11" fillId="2" fontId="10" numFmtId="166" xfId="0" applyAlignment="1" applyBorder="1" applyFont="1" applyNumberFormat="1">
      <alignment horizontal="right" shrinkToFit="0" vertical="bottom" wrapText="0"/>
    </xf>
    <xf borderId="10" fillId="0" fontId="18" numFmtId="0" xfId="0" applyAlignment="1" applyBorder="1" applyFont="1">
      <alignment shrinkToFit="0" vertical="bottom" wrapText="1"/>
    </xf>
    <xf borderId="10" fillId="0" fontId="18" numFmtId="0" xfId="0" applyAlignment="1" applyBorder="1" applyFont="1">
      <alignment horizontal="left" shrinkToFit="0" vertical="bottom" wrapText="1"/>
    </xf>
    <xf borderId="0" fillId="0" fontId="19" numFmtId="0" xfId="0" applyAlignment="1" applyFont="1">
      <alignment shrinkToFit="0" vertical="bottom" wrapText="0"/>
    </xf>
    <xf borderId="0" fillId="0" fontId="20" numFmtId="0" xfId="0" applyFont="1"/>
    <xf borderId="0" fillId="0" fontId="21" numFmtId="0" xfId="0" applyAlignment="1" applyFont="1">
      <alignment shrinkToFit="0" vertical="bottom" wrapText="0"/>
    </xf>
    <xf borderId="0" fillId="0" fontId="22" numFmtId="0" xfId="0" applyAlignment="1" applyFont="1">
      <alignment shrinkToFit="0" vertical="bottom" wrapText="0"/>
    </xf>
    <xf borderId="0" fillId="0" fontId="16" numFmtId="0" xfId="0" applyAlignment="1" applyFont="1">
      <alignment shrinkToFit="0" vertical="bottom" wrapText="0"/>
    </xf>
    <xf borderId="0" fillId="0" fontId="23" numFmtId="0" xfId="0" applyAlignment="1" applyFont="1">
      <alignment shrinkToFit="0" vertical="bottom" wrapText="0"/>
    </xf>
    <xf borderId="0" fillId="0" fontId="12" numFmtId="0" xfId="0" applyAlignment="1" applyFont="1">
      <alignment shrinkToFit="0" vertical="bottom" wrapText="0"/>
    </xf>
    <xf borderId="0" fillId="0" fontId="24" numFmtId="0" xfId="0" applyAlignment="1" applyFont="1">
      <alignment shrinkToFit="0" vertical="bottom" wrapText="0"/>
    </xf>
    <xf borderId="0" fillId="0" fontId="25" numFmtId="0" xfId="0" applyAlignment="1" applyFont="1">
      <alignment shrinkToFit="0" vertical="bottom" wrapText="0"/>
    </xf>
    <xf borderId="14" fillId="0" fontId="26" numFmtId="0" xfId="0" applyAlignment="1" applyBorder="1" applyFont="1">
      <alignment shrinkToFit="0" vertical="top" wrapText="0"/>
    </xf>
    <xf borderId="0" fillId="0" fontId="26" numFmtId="0" xfId="0" applyAlignment="1" applyFont="1">
      <alignment shrinkToFit="0" vertical="bottom" wrapText="0"/>
    </xf>
    <xf borderId="0" fillId="0" fontId="19" numFmtId="0" xfId="0" applyAlignment="1" applyFont="1">
      <alignment shrinkToFit="0" vertical="top" wrapText="0"/>
    </xf>
    <xf borderId="0" fillId="0" fontId="19" numFmtId="0" xfId="0" applyAlignment="1" applyFont="1">
      <alignment shrinkToFit="0" vertical="top" wrapText="1"/>
    </xf>
    <xf borderId="0" fillId="0" fontId="27" numFmtId="0" xfId="0" applyAlignment="1" applyFont="1">
      <alignment shrinkToFit="0" vertical="top" wrapText="0"/>
    </xf>
    <xf borderId="15" fillId="2" fontId="28" numFmtId="0" xfId="0" applyAlignment="1" applyBorder="1" applyFont="1">
      <alignment shrinkToFit="0" vertical="top" wrapText="0"/>
    </xf>
    <xf borderId="0" fillId="0" fontId="9" numFmtId="0" xfId="0" applyAlignment="1" applyFont="1">
      <alignment shrinkToFit="0" vertical="top" wrapText="0"/>
    </xf>
    <xf borderId="0" fillId="0" fontId="9" numFmtId="0" xfId="0" applyAlignment="1" applyFont="1">
      <alignment shrinkToFit="0" vertical="top" wrapText="1"/>
    </xf>
    <xf borderId="0" fillId="0" fontId="29" numFmtId="0" xfId="0" applyAlignment="1" applyFont="1">
      <alignment shrinkToFit="0" vertical="top" wrapText="1"/>
    </xf>
  </cellXfs>
  <cellStyles count="1">
    <cellStyle xfId="0" name="Normal" builtinId="0"/>
  </cellStyles>
  <dxfs count="5">
    <dxf>
      <font/>
      <fill>
        <patternFill patternType="solid">
          <fgColor rgb="FFFF0000"/>
          <bgColor rgb="FFFF0000"/>
        </patternFill>
      </fill>
      <border/>
    </dxf>
    <dxf>
      <font/>
      <fill>
        <patternFill patternType="solid">
          <fgColor rgb="FF99CCFF"/>
          <bgColor rgb="FF99CCFF"/>
        </patternFill>
      </fill>
      <border/>
    </dxf>
    <dxf>
      <font/>
      <fill>
        <patternFill patternType="solid">
          <fgColor rgb="FF808080"/>
          <bgColor rgb="FF808080"/>
        </patternFill>
      </fill>
      <border/>
    </dxf>
    <dxf>
      <font/>
      <fill>
        <patternFill patternType="solid">
          <fgColor rgb="FF6699FF"/>
          <bgColor rgb="FF6699FF"/>
        </patternFill>
      </fill>
      <border/>
    </dxf>
    <dxf>
      <font/>
      <fill>
        <patternFill patternType="solid">
          <fgColor rgb="FF5F5F5F"/>
          <bgColor rgb="FF5F5F5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200025</xdr:colOff>
      <xdr:row>0</xdr:row>
      <xdr:rowOff>19050</xdr:rowOff>
    </xdr:from>
    <xdr:ext cx="3238500" cy="438150"/>
    <xdr:sp>
      <xdr:nvSpPr>
        <xdr:cNvPr id="3" name="Shape 3"/>
        <xdr:cNvSpPr/>
      </xdr:nvSpPr>
      <xdr:spPr>
        <a:xfrm>
          <a:off x="3731513" y="3565688"/>
          <a:ext cx="3228975" cy="428625"/>
        </a:xfrm>
        <a:prstGeom prst="roundRect">
          <a:avLst>
            <a:gd fmla="val 16667" name="adj"/>
          </a:avLst>
        </a:prstGeom>
        <a:solidFill>
          <a:srgbClr val="FFFFFF"/>
        </a:solidFill>
        <a:ln cap="flat" cmpd="sng" w="9525">
          <a:solidFill>
            <a:srgbClr val="C0C0C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800" u="none" strike="noStrike">
              <a:solidFill>
                <a:srgbClr val="000000"/>
              </a:solidFill>
              <a:latin typeface="Arial"/>
              <a:ea typeface="Arial"/>
              <a:cs typeface="Arial"/>
              <a:sym typeface="Arial"/>
            </a:rPr>
            <a:t>To unlock this spreadsheet, purchase Gantt Chart Template Pro:  </a:t>
          </a:r>
          <a:r>
            <a:rPr i="0" lang="en-US" sz="800" u="sng" strike="noStrike">
              <a:solidFill>
                <a:srgbClr val="0000FF"/>
              </a:solidFill>
              <a:latin typeface="Arial"/>
              <a:ea typeface="Arial"/>
              <a:cs typeface="Arial"/>
              <a:sym typeface="Arial"/>
            </a:rPr>
            <a:t>http://www.vertex42.com/ExcelTemplates/excel-gantt-chart.html</a:t>
          </a:r>
          <a:endParaRPr sz="1400"/>
        </a:p>
      </xdr:txBody>
    </xdr:sp>
    <xdr:clientData fLocksWithSheet="0"/>
  </xdr:oneCellAnchor>
  <xdr:oneCellAnchor>
    <xdr:from>
      <xdr:col>7</xdr:col>
      <xdr:colOff>9525</xdr:colOff>
      <xdr:row>0</xdr:row>
      <xdr:rowOff>0</xdr:rowOff>
    </xdr:from>
    <xdr:ext cx="828675" cy="142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3</xdr:row>
      <xdr:rowOff>9525</xdr:rowOff>
    </xdr:from>
    <xdr:ext cx="2781300" cy="22002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228600</xdr:colOff>
      <xdr:row>0</xdr:row>
      <xdr:rowOff>0</xdr:rowOff>
    </xdr:from>
    <xdr:ext cx="1600200" cy="3429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5457825</xdr:colOff>
      <xdr:row>0</xdr:row>
      <xdr:rowOff>0</xdr:rowOff>
    </xdr:from>
    <xdr:ext cx="1838325" cy="333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www.vertex42.com/ExcelTemplates/excel-gantt-chart.htm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vertex42.com/Links/go.php?urlid=GanttChartPro" TargetMode="External"/><Relationship Id="rId2" Type="http://schemas.openxmlformats.org/officeDocument/2006/relationships/hyperlink" Target="http://www.vertex42.com/Links/go.php?urlid=GanttChartPro"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vertex42.com/licensing/EULA_privateuse.html" TargetMode="External"/><Relationship Id="rId3" Type="http://schemas.openxmlformats.org/officeDocument/2006/relationships/drawing" Target="../drawings/drawing4.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13"/>
    <col customWidth="1" min="3" max="3" width="13.5"/>
    <col customWidth="1" min="4" max="4" width="7.75"/>
    <col customWidth="1" min="5" max="5" width="7.38"/>
    <col customWidth="1" min="6" max="6" width="4.75"/>
    <col customWidth="1" min="7" max="7" width="5.88"/>
    <col customWidth="1" min="8" max="8" width="4.75"/>
    <col customWidth="1" min="9" max="9" width="4.88"/>
    <col customWidth="1" min="10" max="10" width="5.25"/>
    <col customWidth="1" min="11" max="11" width="2.75"/>
    <col customWidth="1" min="12" max="249" width="0.38"/>
    <col customWidth="1" min="250" max="256" width="9.13"/>
  </cols>
  <sheetData>
    <row r="1" ht="23.25" customHeight="1">
      <c r="A1" s="1" t="s">
        <v>0</v>
      </c>
      <c r="B1" s="2"/>
      <c r="C1" s="2"/>
      <c r="D1" s="2"/>
      <c r="E1" s="3" t="s">
        <v>1</v>
      </c>
      <c r="F1" s="2"/>
      <c r="G1" s="4" t="s">
        <v>2</v>
      </c>
      <c r="H1" s="5"/>
      <c r="I1" s="5"/>
      <c r="J1" s="6"/>
      <c r="K1" s="7">
        <v>0.0</v>
      </c>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row>
    <row r="2" ht="12.75" customHeight="1">
      <c r="A2" s="9"/>
      <c r="B2" s="9"/>
      <c r="C2" s="9"/>
      <c r="D2" s="9"/>
      <c r="E2" s="9"/>
      <c r="F2" s="9"/>
      <c r="G2" s="9"/>
      <c r="H2" s="9"/>
      <c r="I2" s="10" t="s">
        <v>3</v>
      </c>
      <c r="J2" s="6"/>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row>
    <row r="3" ht="15.75" customHeight="1">
      <c r="A3" s="11" t="s">
        <v>4</v>
      </c>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row>
    <row r="4" ht="12.75" customHeight="1">
      <c r="A4" s="8"/>
      <c r="G4" s="12"/>
      <c r="H4" s="12"/>
      <c r="I4" s="12"/>
      <c r="J4" s="12"/>
      <c r="K4" s="13"/>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row>
    <row r="5" ht="12.75" customHeight="1">
      <c r="A5" s="8"/>
      <c r="H5" s="14"/>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row>
    <row r="6" ht="12.75" customHeight="1">
      <c r="A6" s="8"/>
      <c r="B6" s="12" t="s">
        <v>5</v>
      </c>
      <c r="C6" s="15" t="s">
        <v>6</v>
      </c>
      <c r="D6" s="16"/>
      <c r="E6" s="16"/>
      <c r="F6" s="8"/>
      <c r="G6" s="8"/>
      <c r="HT6" s="8"/>
      <c r="HU6" s="8"/>
      <c r="HV6" s="8"/>
      <c r="HW6" s="8"/>
      <c r="HX6" s="8"/>
      <c r="HY6" s="8"/>
      <c r="HZ6" s="8"/>
      <c r="IA6" s="8"/>
      <c r="IB6" s="8"/>
      <c r="IC6" s="8"/>
      <c r="ID6" s="8"/>
      <c r="IE6" s="8"/>
      <c r="IF6" s="8"/>
      <c r="IG6" s="8"/>
      <c r="IH6" s="8"/>
      <c r="II6" s="8"/>
      <c r="IJ6" s="8"/>
      <c r="IK6" s="8"/>
      <c r="IL6" s="8"/>
      <c r="IM6" s="8"/>
      <c r="IN6" s="8"/>
      <c r="IO6" s="8"/>
      <c r="IP6" s="8"/>
      <c r="IQ6" s="17" t="s">
        <v>7</v>
      </c>
      <c r="IR6" s="8"/>
      <c r="IS6" s="8"/>
      <c r="IT6" s="8"/>
      <c r="IU6" s="8"/>
      <c r="IV6" s="8"/>
    </row>
    <row r="7" ht="12.75" customHeight="1">
      <c r="A7" s="8"/>
      <c r="B7" s="12" t="s">
        <v>8</v>
      </c>
      <c r="C7" s="18">
        <v>45888.0</v>
      </c>
      <c r="D7" s="19"/>
      <c r="E7" s="13"/>
      <c r="F7" s="8"/>
      <c r="G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row>
    <row r="8" ht="12.75" customHeight="1">
      <c r="A8" s="17" t="s">
        <v>7</v>
      </c>
      <c r="F8" s="20"/>
      <c r="G8" s="8"/>
      <c r="H8" s="8"/>
      <c r="I8" s="8"/>
      <c r="J8" s="21" t="s">
        <v>9</v>
      </c>
      <c r="K8" s="22">
        <v>2.0</v>
      </c>
      <c r="L8" s="23">
        <f>(C7-WEEKDAY(C7,1)+K8)+7*K1</f>
        <v>45887</v>
      </c>
      <c r="M8" s="24">
        <f t="shared" ref="M8:IO8" si="1">L8+1</f>
        <v>45888</v>
      </c>
      <c r="N8" s="24">
        <f t="shared" si="1"/>
        <v>45889</v>
      </c>
      <c r="O8" s="24">
        <f t="shared" si="1"/>
        <v>45890</v>
      </c>
      <c r="P8" s="24">
        <f t="shared" si="1"/>
        <v>45891</v>
      </c>
      <c r="Q8" s="24">
        <f t="shared" si="1"/>
        <v>45892</v>
      </c>
      <c r="R8" s="24">
        <f t="shared" si="1"/>
        <v>45893</v>
      </c>
      <c r="S8" s="24">
        <f t="shared" si="1"/>
        <v>45894</v>
      </c>
      <c r="T8" s="24">
        <f t="shared" si="1"/>
        <v>45895</v>
      </c>
      <c r="U8" s="24">
        <f t="shared" si="1"/>
        <v>45896</v>
      </c>
      <c r="V8" s="24">
        <f t="shared" si="1"/>
        <v>45897</v>
      </c>
      <c r="W8" s="24">
        <f t="shared" si="1"/>
        <v>45898</v>
      </c>
      <c r="X8" s="24">
        <f t="shared" si="1"/>
        <v>45899</v>
      </c>
      <c r="Y8" s="24">
        <f t="shared" si="1"/>
        <v>45900</v>
      </c>
      <c r="Z8" s="24">
        <f t="shared" si="1"/>
        <v>45901</v>
      </c>
      <c r="AA8" s="24">
        <f t="shared" si="1"/>
        <v>45902</v>
      </c>
      <c r="AB8" s="24">
        <f t="shared" si="1"/>
        <v>45903</v>
      </c>
      <c r="AC8" s="24">
        <f t="shared" si="1"/>
        <v>45904</v>
      </c>
      <c r="AD8" s="24">
        <f t="shared" si="1"/>
        <v>45905</v>
      </c>
      <c r="AE8" s="24">
        <f t="shared" si="1"/>
        <v>45906</v>
      </c>
      <c r="AF8" s="24">
        <f t="shared" si="1"/>
        <v>45907</v>
      </c>
      <c r="AG8" s="24">
        <f t="shared" si="1"/>
        <v>45908</v>
      </c>
      <c r="AH8" s="24">
        <f t="shared" si="1"/>
        <v>45909</v>
      </c>
      <c r="AI8" s="24">
        <f t="shared" si="1"/>
        <v>45910</v>
      </c>
      <c r="AJ8" s="24">
        <f t="shared" si="1"/>
        <v>45911</v>
      </c>
      <c r="AK8" s="24">
        <f t="shared" si="1"/>
        <v>45912</v>
      </c>
      <c r="AL8" s="24">
        <f t="shared" si="1"/>
        <v>45913</v>
      </c>
      <c r="AM8" s="24">
        <f t="shared" si="1"/>
        <v>45914</v>
      </c>
      <c r="AN8" s="24">
        <f t="shared" si="1"/>
        <v>45915</v>
      </c>
      <c r="AO8" s="24">
        <f t="shared" si="1"/>
        <v>45916</v>
      </c>
      <c r="AP8" s="24">
        <f t="shared" si="1"/>
        <v>45917</v>
      </c>
      <c r="AQ8" s="24">
        <f t="shared" si="1"/>
        <v>45918</v>
      </c>
      <c r="AR8" s="24">
        <f t="shared" si="1"/>
        <v>45919</v>
      </c>
      <c r="AS8" s="24">
        <f t="shared" si="1"/>
        <v>45920</v>
      </c>
      <c r="AT8" s="24">
        <f t="shared" si="1"/>
        <v>45921</v>
      </c>
      <c r="AU8" s="24">
        <f t="shared" si="1"/>
        <v>45922</v>
      </c>
      <c r="AV8" s="24">
        <f t="shared" si="1"/>
        <v>45923</v>
      </c>
      <c r="AW8" s="24">
        <f t="shared" si="1"/>
        <v>45924</v>
      </c>
      <c r="AX8" s="24">
        <f t="shared" si="1"/>
        <v>45925</v>
      </c>
      <c r="AY8" s="24">
        <f t="shared" si="1"/>
        <v>45926</v>
      </c>
      <c r="AZ8" s="24">
        <f t="shared" si="1"/>
        <v>45927</v>
      </c>
      <c r="BA8" s="24">
        <f t="shared" si="1"/>
        <v>45928</v>
      </c>
      <c r="BB8" s="24">
        <f t="shared" si="1"/>
        <v>45929</v>
      </c>
      <c r="BC8" s="24">
        <f t="shared" si="1"/>
        <v>45930</v>
      </c>
      <c r="BD8" s="24">
        <f t="shared" si="1"/>
        <v>45931</v>
      </c>
      <c r="BE8" s="24">
        <f t="shared" si="1"/>
        <v>45932</v>
      </c>
      <c r="BF8" s="24">
        <f t="shared" si="1"/>
        <v>45933</v>
      </c>
      <c r="BG8" s="24">
        <f t="shared" si="1"/>
        <v>45934</v>
      </c>
      <c r="BH8" s="24">
        <f t="shared" si="1"/>
        <v>45935</v>
      </c>
      <c r="BI8" s="24">
        <f t="shared" si="1"/>
        <v>45936</v>
      </c>
      <c r="BJ8" s="24">
        <f t="shared" si="1"/>
        <v>45937</v>
      </c>
      <c r="BK8" s="24">
        <f t="shared" si="1"/>
        <v>45938</v>
      </c>
      <c r="BL8" s="24">
        <f t="shared" si="1"/>
        <v>45939</v>
      </c>
      <c r="BM8" s="24">
        <f t="shared" si="1"/>
        <v>45940</v>
      </c>
      <c r="BN8" s="24">
        <f t="shared" si="1"/>
        <v>45941</v>
      </c>
      <c r="BO8" s="24">
        <f t="shared" si="1"/>
        <v>45942</v>
      </c>
      <c r="BP8" s="24">
        <f t="shared" si="1"/>
        <v>45943</v>
      </c>
      <c r="BQ8" s="24">
        <f t="shared" si="1"/>
        <v>45944</v>
      </c>
      <c r="BR8" s="24">
        <f t="shared" si="1"/>
        <v>45945</v>
      </c>
      <c r="BS8" s="24">
        <f t="shared" si="1"/>
        <v>45946</v>
      </c>
      <c r="BT8" s="24">
        <f t="shared" si="1"/>
        <v>45947</v>
      </c>
      <c r="BU8" s="24">
        <f t="shared" si="1"/>
        <v>45948</v>
      </c>
      <c r="BV8" s="24">
        <f t="shared" si="1"/>
        <v>45949</v>
      </c>
      <c r="BW8" s="24">
        <f t="shared" si="1"/>
        <v>45950</v>
      </c>
      <c r="BX8" s="24">
        <f t="shared" si="1"/>
        <v>45951</v>
      </c>
      <c r="BY8" s="24">
        <f t="shared" si="1"/>
        <v>45952</v>
      </c>
      <c r="BZ8" s="24">
        <f t="shared" si="1"/>
        <v>45953</v>
      </c>
      <c r="CA8" s="24">
        <f t="shared" si="1"/>
        <v>45954</v>
      </c>
      <c r="CB8" s="24">
        <f t="shared" si="1"/>
        <v>45955</v>
      </c>
      <c r="CC8" s="24">
        <f t="shared" si="1"/>
        <v>45956</v>
      </c>
      <c r="CD8" s="24">
        <f t="shared" si="1"/>
        <v>45957</v>
      </c>
      <c r="CE8" s="24">
        <f t="shared" si="1"/>
        <v>45958</v>
      </c>
      <c r="CF8" s="24">
        <f t="shared" si="1"/>
        <v>45959</v>
      </c>
      <c r="CG8" s="24">
        <f t="shared" si="1"/>
        <v>45960</v>
      </c>
      <c r="CH8" s="24">
        <f t="shared" si="1"/>
        <v>45961</v>
      </c>
      <c r="CI8" s="24">
        <f t="shared" si="1"/>
        <v>45962</v>
      </c>
      <c r="CJ8" s="24">
        <f t="shared" si="1"/>
        <v>45963</v>
      </c>
      <c r="CK8" s="24">
        <f t="shared" si="1"/>
        <v>45964</v>
      </c>
      <c r="CL8" s="24">
        <f t="shared" si="1"/>
        <v>45965</v>
      </c>
      <c r="CM8" s="24">
        <f t="shared" si="1"/>
        <v>45966</v>
      </c>
      <c r="CN8" s="24">
        <f t="shared" si="1"/>
        <v>45967</v>
      </c>
      <c r="CO8" s="24">
        <f t="shared" si="1"/>
        <v>45968</v>
      </c>
      <c r="CP8" s="24">
        <f t="shared" si="1"/>
        <v>45969</v>
      </c>
      <c r="CQ8" s="24">
        <f t="shared" si="1"/>
        <v>45970</v>
      </c>
      <c r="CR8" s="24">
        <f t="shared" si="1"/>
        <v>45971</v>
      </c>
      <c r="CS8" s="24">
        <f t="shared" si="1"/>
        <v>45972</v>
      </c>
      <c r="CT8" s="24">
        <f t="shared" si="1"/>
        <v>45973</v>
      </c>
      <c r="CU8" s="24">
        <f t="shared" si="1"/>
        <v>45974</v>
      </c>
      <c r="CV8" s="24">
        <f t="shared" si="1"/>
        <v>45975</v>
      </c>
      <c r="CW8" s="24">
        <f t="shared" si="1"/>
        <v>45976</v>
      </c>
      <c r="CX8" s="24">
        <f t="shared" si="1"/>
        <v>45977</v>
      </c>
      <c r="CY8" s="24">
        <f t="shared" si="1"/>
        <v>45978</v>
      </c>
      <c r="CZ8" s="24">
        <f t="shared" si="1"/>
        <v>45979</v>
      </c>
      <c r="DA8" s="24">
        <f t="shared" si="1"/>
        <v>45980</v>
      </c>
      <c r="DB8" s="24">
        <f t="shared" si="1"/>
        <v>45981</v>
      </c>
      <c r="DC8" s="24">
        <f t="shared" si="1"/>
        <v>45982</v>
      </c>
      <c r="DD8" s="24">
        <f t="shared" si="1"/>
        <v>45983</v>
      </c>
      <c r="DE8" s="24">
        <f t="shared" si="1"/>
        <v>45984</v>
      </c>
      <c r="DF8" s="24">
        <f t="shared" si="1"/>
        <v>45985</v>
      </c>
      <c r="DG8" s="24">
        <f t="shared" si="1"/>
        <v>45986</v>
      </c>
      <c r="DH8" s="24">
        <f t="shared" si="1"/>
        <v>45987</v>
      </c>
      <c r="DI8" s="24">
        <f t="shared" si="1"/>
        <v>45988</v>
      </c>
      <c r="DJ8" s="24">
        <f t="shared" si="1"/>
        <v>45989</v>
      </c>
      <c r="DK8" s="24">
        <f t="shared" si="1"/>
        <v>45990</v>
      </c>
      <c r="DL8" s="24">
        <f t="shared" si="1"/>
        <v>45991</v>
      </c>
      <c r="DM8" s="24">
        <f t="shared" si="1"/>
        <v>45992</v>
      </c>
      <c r="DN8" s="24">
        <f t="shared" si="1"/>
        <v>45993</v>
      </c>
      <c r="DO8" s="24">
        <f t="shared" si="1"/>
        <v>45994</v>
      </c>
      <c r="DP8" s="24">
        <f t="shared" si="1"/>
        <v>45995</v>
      </c>
      <c r="DQ8" s="24">
        <f t="shared" si="1"/>
        <v>45996</v>
      </c>
      <c r="DR8" s="24">
        <f t="shared" si="1"/>
        <v>45997</v>
      </c>
      <c r="DS8" s="24">
        <f t="shared" si="1"/>
        <v>45998</v>
      </c>
      <c r="DT8" s="24">
        <f t="shared" si="1"/>
        <v>45999</v>
      </c>
      <c r="DU8" s="24">
        <f t="shared" si="1"/>
        <v>46000</v>
      </c>
      <c r="DV8" s="24">
        <f t="shared" si="1"/>
        <v>46001</v>
      </c>
      <c r="DW8" s="24">
        <f t="shared" si="1"/>
        <v>46002</v>
      </c>
      <c r="DX8" s="24">
        <f t="shared" si="1"/>
        <v>46003</v>
      </c>
      <c r="DY8" s="24">
        <f t="shared" si="1"/>
        <v>46004</v>
      </c>
      <c r="DZ8" s="24">
        <f t="shared" si="1"/>
        <v>46005</v>
      </c>
      <c r="EA8" s="24">
        <f t="shared" si="1"/>
        <v>46006</v>
      </c>
      <c r="EB8" s="24">
        <f t="shared" si="1"/>
        <v>46007</v>
      </c>
      <c r="EC8" s="24">
        <f t="shared" si="1"/>
        <v>46008</v>
      </c>
      <c r="ED8" s="24">
        <f t="shared" si="1"/>
        <v>46009</v>
      </c>
      <c r="EE8" s="24">
        <f t="shared" si="1"/>
        <v>46010</v>
      </c>
      <c r="EF8" s="24">
        <f t="shared" si="1"/>
        <v>46011</v>
      </c>
      <c r="EG8" s="24">
        <f t="shared" si="1"/>
        <v>46012</v>
      </c>
      <c r="EH8" s="24">
        <f t="shared" si="1"/>
        <v>46013</v>
      </c>
      <c r="EI8" s="24">
        <f t="shared" si="1"/>
        <v>46014</v>
      </c>
      <c r="EJ8" s="24">
        <f t="shared" si="1"/>
        <v>46015</v>
      </c>
      <c r="EK8" s="24">
        <f t="shared" si="1"/>
        <v>46016</v>
      </c>
      <c r="EL8" s="24">
        <f t="shared" si="1"/>
        <v>46017</v>
      </c>
      <c r="EM8" s="24">
        <f t="shared" si="1"/>
        <v>46018</v>
      </c>
      <c r="EN8" s="24">
        <f t="shared" si="1"/>
        <v>46019</v>
      </c>
      <c r="EO8" s="24">
        <f t="shared" si="1"/>
        <v>46020</v>
      </c>
      <c r="EP8" s="24">
        <f t="shared" si="1"/>
        <v>46021</v>
      </c>
      <c r="EQ8" s="24">
        <f t="shared" si="1"/>
        <v>46022</v>
      </c>
      <c r="ER8" s="24">
        <f t="shared" si="1"/>
        <v>46023</v>
      </c>
      <c r="ES8" s="24">
        <f t="shared" si="1"/>
        <v>46024</v>
      </c>
      <c r="ET8" s="24">
        <f t="shared" si="1"/>
        <v>46025</v>
      </c>
      <c r="EU8" s="24">
        <f t="shared" si="1"/>
        <v>46026</v>
      </c>
      <c r="EV8" s="24">
        <f t="shared" si="1"/>
        <v>46027</v>
      </c>
      <c r="EW8" s="24">
        <f t="shared" si="1"/>
        <v>46028</v>
      </c>
      <c r="EX8" s="24">
        <f t="shared" si="1"/>
        <v>46029</v>
      </c>
      <c r="EY8" s="24">
        <f t="shared" si="1"/>
        <v>46030</v>
      </c>
      <c r="EZ8" s="24">
        <f t="shared" si="1"/>
        <v>46031</v>
      </c>
      <c r="FA8" s="24">
        <f t="shared" si="1"/>
        <v>46032</v>
      </c>
      <c r="FB8" s="24">
        <f t="shared" si="1"/>
        <v>46033</v>
      </c>
      <c r="FC8" s="24">
        <f t="shared" si="1"/>
        <v>46034</v>
      </c>
      <c r="FD8" s="24">
        <f t="shared" si="1"/>
        <v>46035</v>
      </c>
      <c r="FE8" s="24">
        <f t="shared" si="1"/>
        <v>46036</v>
      </c>
      <c r="FF8" s="24">
        <f t="shared" si="1"/>
        <v>46037</v>
      </c>
      <c r="FG8" s="24">
        <f t="shared" si="1"/>
        <v>46038</v>
      </c>
      <c r="FH8" s="24">
        <f t="shared" si="1"/>
        <v>46039</v>
      </c>
      <c r="FI8" s="24">
        <f t="shared" si="1"/>
        <v>46040</v>
      </c>
      <c r="FJ8" s="24">
        <f t="shared" si="1"/>
        <v>46041</v>
      </c>
      <c r="FK8" s="24">
        <f t="shared" si="1"/>
        <v>46042</v>
      </c>
      <c r="FL8" s="24">
        <f t="shared" si="1"/>
        <v>46043</v>
      </c>
      <c r="FM8" s="24">
        <f t="shared" si="1"/>
        <v>46044</v>
      </c>
      <c r="FN8" s="24">
        <f t="shared" si="1"/>
        <v>46045</v>
      </c>
      <c r="FO8" s="24">
        <f t="shared" si="1"/>
        <v>46046</v>
      </c>
      <c r="FP8" s="24">
        <f t="shared" si="1"/>
        <v>46047</v>
      </c>
      <c r="FQ8" s="24">
        <f t="shared" si="1"/>
        <v>46048</v>
      </c>
      <c r="FR8" s="24">
        <f t="shared" si="1"/>
        <v>46049</v>
      </c>
      <c r="FS8" s="24">
        <f t="shared" si="1"/>
        <v>46050</v>
      </c>
      <c r="FT8" s="24">
        <f t="shared" si="1"/>
        <v>46051</v>
      </c>
      <c r="FU8" s="24">
        <f t="shared" si="1"/>
        <v>46052</v>
      </c>
      <c r="FV8" s="24">
        <f t="shared" si="1"/>
        <v>46053</v>
      </c>
      <c r="FW8" s="24">
        <f t="shared" si="1"/>
        <v>46054</v>
      </c>
      <c r="FX8" s="24">
        <f t="shared" si="1"/>
        <v>46055</v>
      </c>
      <c r="FY8" s="24">
        <f t="shared" si="1"/>
        <v>46056</v>
      </c>
      <c r="FZ8" s="24">
        <f t="shared" si="1"/>
        <v>46057</v>
      </c>
      <c r="GA8" s="24">
        <f t="shared" si="1"/>
        <v>46058</v>
      </c>
      <c r="GB8" s="24">
        <f t="shared" si="1"/>
        <v>46059</v>
      </c>
      <c r="GC8" s="24">
        <f t="shared" si="1"/>
        <v>46060</v>
      </c>
      <c r="GD8" s="24">
        <f t="shared" si="1"/>
        <v>46061</v>
      </c>
      <c r="GE8" s="24">
        <f t="shared" si="1"/>
        <v>46062</v>
      </c>
      <c r="GF8" s="24">
        <f t="shared" si="1"/>
        <v>46063</v>
      </c>
      <c r="GG8" s="24">
        <f t="shared" si="1"/>
        <v>46064</v>
      </c>
      <c r="GH8" s="24">
        <f t="shared" si="1"/>
        <v>46065</v>
      </c>
      <c r="GI8" s="24">
        <f t="shared" si="1"/>
        <v>46066</v>
      </c>
      <c r="GJ8" s="24">
        <f t="shared" si="1"/>
        <v>46067</v>
      </c>
      <c r="GK8" s="24">
        <f t="shared" si="1"/>
        <v>46068</v>
      </c>
      <c r="GL8" s="24">
        <f t="shared" si="1"/>
        <v>46069</v>
      </c>
      <c r="GM8" s="24">
        <f t="shared" si="1"/>
        <v>46070</v>
      </c>
      <c r="GN8" s="24">
        <f t="shared" si="1"/>
        <v>46071</v>
      </c>
      <c r="GO8" s="24">
        <f t="shared" si="1"/>
        <v>46072</v>
      </c>
      <c r="GP8" s="24">
        <f t="shared" si="1"/>
        <v>46073</v>
      </c>
      <c r="GQ8" s="24">
        <f t="shared" si="1"/>
        <v>46074</v>
      </c>
      <c r="GR8" s="24">
        <f t="shared" si="1"/>
        <v>46075</v>
      </c>
      <c r="GS8" s="24">
        <f t="shared" si="1"/>
        <v>46076</v>
      </c>
      <c r="GT8" s="24">
        <f t="shared" si="1"/>
        <v>46077</v>
      </c>
      <c r="GU8" s="24">
        <f t="shared" si="1"/>
        <v>46078</v>
      </c>
      <c r="GV8" s="24">
        <f t="shared" si="1"/>
        <v>46079</v>
      </c>
      <c r="GW8" s="24">
        <f t="shared" si="1"/>
        <v>46080</v>
      </c>
      <c r="GX8" s="24">
        <f t="shared" si="1"/>
        <v>46081</v>
      </c>
      <c r="GY8" s="24">
        <f t="shared" si="1"/>
        <v>46082</v>
      </c>
      <c r="GZ8" s="24">
        <f t="shared" si="1"/>
        <v>46083</v>
      </c>
      <c r="HA8" s="24">
        <f t="shared" si="1"/>
        <v>46084</v>
      </c>
      <c r="HB8" s="24">
        <f t="shared" si="1"/>
        <v>46085</v>
      </c>
      <c r="HC8" s="24">
        <f t="shared" si="1"/>
        <v>46086</v>
      </c>
      <c r="HD8" s="24">
        <f t="shared" si="1"/>
        <v>46087</v>
      </c>
      <c r="HE8" s="24">
        <f t="shared" si="1"/>
        <v>46088</v>
      </c>
      <c r="HF8" s="24">
        <f t="shared" si="1"/>
        <v>46089</v>
      </c>
      <c r="HG8" s="24">
        <f t="shared" si="1"/>
        <v>46090</v>
      </c>
      <c r="HH8" s="24">
        <f t="shared" si="1"/>
        <v>46091</v>
      </c>
      <c r="HI8" s="24">
        <f t="shared" si="1"/>
        <v>46092</v>
      </c>
      <c r="HJ8" s="24">
        <f t="shared" si="1"/>
        <v>46093</v>
      </c>
      <c r="HK8" s="24">
        <f t="shared" si="1"/>
        <v>46094</v>
      </c>
      <c r="HL8" s="24">
        <f t="shared" si="1"/>
        <v>46095</v>
      </c>
      <c r="HM8" s="24">
        <f t="shared" si="1"/>
        <v>46096</v>
      </c>
      <c r="HN8" s="24">
        <f t="shared" si="1"/>
        <v>46097</v>
      </c>
      <c r="HO8" s="24">
        <f t="shared" si="1"/>
        <v>46098</v>
      </c>
      <c r="HP8" s="24">
        <f t="shared" si="1"/>
        <v>46099</v>
      </c>
      <c r="HQ8" s="24">
        <f t="shared" si="1"/>
        <v>46100</v>
      </c>
      <c r="HR8" s="24">
        <f t="shared" si="1"/>
        <v>46101</v>
      </c>
      <c r="HS8" s="24">
        <f t="shared" si="1"/>
        <v>46102</v>
      </c>
      <c r="HT8" s="24">
        <f t="shared" si="1"/>
        <v>46103</v>
      </c>
      <c r="HU8" s="24">
        <f t="shared" si="1"/>
        <v>46104</v>
      </c>
      <c r="HV8" s="24">
        <f t="shared" si="1"/>
        <v>46105</v>
      </c>
      <c r="HW8" s="24">
        <f t="shared" si="1"/>
        <v>46106</v>
      </c>
      <c r="HX8" s="24">
        <f t="shared" si="1"/>
        <v>46107</v>
      </c>
      <c r="HY8" s="24">
        <f t="shared" si="1"/>
        <v>46108</v>
      </c>
      <c r="HZ8" s="24">
        <f t="shared" si="1"/>
        <v>46109</v>
      </c>
      <c r="IA8" s="24">
        <f t="shared" si="1"/>
        <v>46110</v>
      </c>
      <c r="IB8" s="24">
        <f t="shared" si="1"/>
        <v>46111</v>
      </c>
      <c r="IC8" s="24">
        <f t="shared" si="1"/>
        <v>46112</v>
      </c>
      <c r="ID8" s="24">
        <f t="shared" si="1"/>
        <v>46113</v>
      </c>
      <c r="IE8" s="24">
        <f t="shared" si="1"/>
        <v>46114</v>
      </c>
      <c r="IF8" s="24">
        <f t="shared" si="1"/>
        <v>46115</v>
      </c>
      <c r="IG8" s="24">
        <f t="shared" si="1"/>
        <v>46116</v>
      </c>
      <c r="IH8" s="24">
        <f t="shared" si="1"/>
        <v>46117</v>
      </c>
      <c r="II8" s="24">
        <f t="shared" si="1"/>
        <v>46118</v>
      </c>
      <c r="IJ8" s="24">
        <f t="shared" si="1"/>
        <v>46119</v>
      </c>
      <c r="IK8" s="24">
        <f t="shared" si="1"/>
        <v>46120</v>
      </c>
      <c r="IL8" s="24">
        <f t="shared" si="1"/>
        <v>46121</v>
      </c>
      <c r="IM8" s="24">
        <f t="shared" si="1"/>
        <v>46122</v>
      </c>
      <c r="IN8" s="24">
        <f t="shared" si="1"/>
        <v>46123</v>
      </c>
      <c r="IO8" s="24">
        <f t="shared" si="1"/>
        <v>46124</v>
      </c>
      <c r="IP8" s="25"/>
      <c r="IQ8" s="8"/>
      <c r="IR8" s="8"/>
      <c r="IS8" s="8"/>
      <c r="IT8" s="8"/>
      <c r="IU8" s="8"/>
      <c r="IV8" s="8"/>
    </row>
    <row r="9" ht="76.5" customHeight="1">
      <c r="A9" s="26" t="s">
        <v>10</v>
      </c>
      <c r="B9" s="27" t="s">
        <v>11</v>
      </c>
      <c r="C9" s="28" t="s">
        <v>12</v>
      </c>
      <c r="D9" s="29" t="s">
        <v>13</v>
      </c>
      <c r="E9" s="29" t="s">
        <v>14</v>
      </c>
      <c r="F9" s="30" t="s">
        <v>15</v>
      </c>
      <c r="G9" s="31" t="s">
        <v>16</v>
      </c>
      <c r="H9" s="30" t="s">
        <v>17</v>
      </c>
      <c r="I9" s="31" t="s">
        <v>18</v>
      </c>
      <c r="J9" s="31" t="s">
        <v>19</v>
      </c>
      <c r="K9" s="32"/>
      <c r="L9" s="33">
        <f>L8</f>
        <v>45887</v>
      </c>
      <c r="M9" s="16"/>
      <c r="N9" s="16"/>
      <c r="O9" s="16"/>
      <c r="P9" s="16"/>
      <c r="Q9" s="16"/>
      <c r="R9" s="34"/>
      <c r="S9" s="33">
        <f>S8</f>
        <v>45894</v>
      </c>
      <c r="T9" s="16"/>
      <c r="U9" s="16"/>
      <c r="V9" s="16"/>
      <c r="W9" s="16"/>
      <c r="X9" s="16"/>
      <c r="Y9" s="34"/>
      <c r="Z9" s="33">
        <f>Z8</f>
        <v>45901</v>
      </c>
      <c r="AA9" s="16"/>
      <c r="AB9" s="16"/>
      <c r="AC9" s="16"/>
      <c r="AD9" s="16"/>
      <c r="AE9" s="16"/>
      <c r="AF9" s="34"/>
      <c r="AG9" s="33">
        <f>AG8</f>
        <v>45908</v>
      </c>
      <c r="AH9" s="16"/>
      <c r="AI9" s="16"/>
      <c r="AJ9" s="16"/>
      <c r="AK9" s="16"/>
      <c r="AL9" s="16"/>
      <c r="AM9" s="34"/>
      <c r="AN9" s="33">
        <f>AN8</f>
        <v>45915</v>
      </c>
      <c r="AO9" s="16"/>
      <c r="AP9" s="16"/>
      <c r="AQ9" s="16"/>
      <c r="AR9" s="16"/>
      <c r="AS9" s="16"/>
      <c r="AT9" s="34"/>
      <c r="AU9" s="33">
        <f>AU8</f>
        <v>45922</v>
      </c>
      <c r="AV9" s="16"/>
      <c r="AW9" s="16"/>
      <c r="AX9" s="16"/>
      <c r="AY9" s="16"/>
      <c r="AZ9" s="16"/>
      <c r="BA9" s="34"/>
      <c r="BB9" s="33">
        <f>BB8</f>
        <v>45929</v>
      </c>
      <c r="BC9" s="16"/>
      <c r="BD9" s="16"/>
      <c r="BE9" s="16"/>
      <c r="BF9" s="16"/>
      <c r="BG9" s="16"/>
      <c r="BH9" s="34"/>
      <c r="BI9" s="33">
        <f>BI8</f>
        <v>45936</v>
      </c>
      <c r="BJ9" s="16"/>
      <c r="BK9" s="16"/>
      <c r="BL9" s="16"/>
      <c r="BM9" s="16"/>
      <c r="BN9" s="16"/>
      <c r="BO9" s="34"/>
      <c r="BP9" s="33">
        <f>BP8</f>
        <v>45943</v>
      </c>
      <c r="BQ9" s="16"/>
      <c r="BR9" s="16"/>
      <c r="BS9" s="16"/>
      <c r="BT9" s="16"/>
      <c r="BU9" s="16"/>
      <c r="BV9" s="34"/>
      <c r="BW9" s="33">
        <f>BW8</f>
        <v>45950</v>
      </c>
      <c r="BX9" s="16"/>
      <c r="BY9" s="16"/>
      <c r="BZ9" s="16"/>
      <c r="CA9" s="16"/>
      <c r="CB9" s="16"/>
      <c r="CC9" s="34"/>
      <c r="CD9" s="33">
        <f>CD8</f>
        <v>45957</v>
      </c>
      <c r="CE9" s="16"/>
      <c r="CF9" s="16"/>
      <c r="CG9" s="16"/>
      <c r="CH9" s="16"/>
      <c r="CI9" s="16"/>
      <c r="CJ9" s="34"/>
      <c r="CK9" s="33">
        <f>CK8</f>
        <v>45964</v>
      </c>
      <c r="CL9" s="16"/>
      <c r="CM9" s="16"/>
      <c r="CN9" s="16"/>
      <c r="CO9" s="16"/>
      <c r="CP9" s="16"/>
      <c r="CQ9" s="34"/>
      <c r="CR9" s="33">
        <f>CR8</f>
        <v>45971</v>
      </c>
      <c r="CS9" s="16"/>
      <c r="CT9" s="16"/>
      <c r="CU9" s="16"/>
      <c r="CV9" s="16"/>
      <c r="CW9" s="16"/>
      <c r="CX9" s="34"/>
      <c r="CY9" s="33">
        <f>CY8</f>
        <v>45978</v>
      </c>
      <c r="CZ9" s="16"/>
      <c r="DA9" s="16"/>
      <c r="DB9" s="16"/>
      <c r="DC9" s="16"/>
      <c r="DD9" s="16"/>
      <c r="DE9" s="34"/>
      <c r="DF9" s="33">
        <f>DF8</f>
        <v>45985</v>
      </c>
      <c r="DG9" s="16"/>
      <c r="DH9" s="16"/>
      <c r="DI9" s="16"/>
      <c r="DJ9" s="16"/>
      <c r="DK9" s="16"/>
      <c r="DL9" s="34"/>
      <c r="DM9" s="33">
        <f>DM8</f>
        <v>45992</v>
      </c>
      <c r="DN9" s="16"/>
      <c r="DO9" s="16"/>
      <c r="DP9" s="16"/>
      <c r="DQ9" s="16"/>
      <c r="DR9" s="16"/>
      <c r="DS9" s="34"/>
      <c r="DT9" s="33">
        <f>DT8</f>
        <v>45999</v>
      </c>
      <c r="DU9" s="16"/>
      <c r="DV9" s="16"/>
      <c r="DW9" s="16"/>
      <c r="DX9" s="16"/>
      <c r="DY9" s="16"/>
      <c r="DZ9" s="34"/>
      <c r="EA9" s="33">
        <f>EA8</f>
        <v>46006</v>
      </c>
      <c r="EB9" s="16"/>
      <c r="EC9" s="16"/>
      <c r="ED9" s="16"/>
      <c r="EE9" s="16"/>
      <c r="EF9" s="16"/>
      <c r="EG9" s="34"/>
      <c r="EH9" s="33">
        <f>EH8</f>
        <v>46013</v>
      </c>
      <c r="EI9" s="16"/>
      <c r="EJ9" s="16"/>
      <c r="EK9" s="16"/>
      <c r="EL9" s="16"/>
      <c r="EM9" s="16"/>
      <c r="EN9" s="34"/>
      <c r="EO9" s="33">
        <f>EO8</f>
        <v>46020</v>
      </c>
      <c r="EP9" s="16"/>
      <c r="EQ9" s="16"/>
      <c r="ER9" s="16"/>
      <c r="ES9" s="16"/>
      <c r="ET9" s="16"/>
      <c r="EU9" s="34"/>
      <c r="EV9" s="33">
        <f>EV8</f>
        <v>46027</v>
      </c>
      <c r="EW9" s="16"/>
      <c r="EX9" s="16"/>
      <c r="EY9" s="16"/>
      <c r="EZ9" s="16"/>
      <c r="FA9" s="16"/>
      <c r="FB9" s="34"/>
      <c r="FC9" s="33">
        <f>FC8</f>
        <v>46034</v>
      </c>
      <c r="FD9" s="16"/>
      <c r="FE9" s="16"/>
      <c r="FF9" s="16"/>
      <c r="FG9" s="16"/>
      <c r="FH9" s="16"/>
      <c r="FI9" s="34"/>
      <c r="FJ9" s="33">
        <f>FJ8</f>
        <v>46041</v>
      </c>
      <c r="FK9" s="16"/>
      <c r="FL9" s="16"/>
      <c r="FM9" s="16"/>
      <c r="FN9" s="16"/>
      <c r="FO9" s="16"/>
      <c r="FP9" s="34"/>
      <c r="FQ9" s="33">
        <f>FQ8</f>
        <v>46048</v>
      </c>
      <c r="FR9" s="16"/>
      <c r="FS9" s="16"/>
      <c r="FT9" s="16"/>
      <c r="FU9" s="16"/>
      <c r="FV9" s="16"/>
      <c r="FW9" s="34"/>
      <c r="FX9" s="33">
        <f>FX8</f>
        <v>46055</v>
      </c>
      <c r="FY9" s="16"/>
      <c r="FZ9" s="16"/>
      <c r="GA9" s="16"/>
      <c r="GB9" s="16"/>
      <c r="GC9" s="16"/>
      <c r="GD9" s="34"/>
      <c r="GE9" s="33">
        <f>GE8</f>
        <v>46062</v>
      </c>
      <c r="GF9" s="16"/>
      <c r="GG9" s="16"/>
      <c r="GH9" s="16"/>
      <c r="GI9" s="16"/>
      <c r="GJ9" s="16"/>
      <c r="GK9" s="34"/>
      <c r="GL9" s="33">
        <f>GL8</f>
        <v>46069</v>
      </c>
      <c r="GM9" s="16"/>
      <c r="GN9" s="16"/>
      <c r="GO9" s="16"/>
      <c r="GP9" s="16"/>
      <c r="GQ9" s="16"/>
      <c r="GR9" s="34"/>
      <c r="GS9" s="33">
        <f>GS8</f>
        <v>46076</v>
      </c>
      <c r="GT9" s="16"/>
      <c r="GU9" s="16"/>
      <c r="GV9" s="16"/>
      <c r="GW9" s="16"/>
      <c r="GX9" s="16"/>
      <c r="GY9" s="34"/>
      <c r="GZ9" s="33">
        <f>GZ8</f>
        <v>46083</v>
      </c>
      <c r="HA9" s="16"/>
      <c r="HB9" s="16"/>
      <c r="HC9" s="16"/>
      <c r="HD9" s="16"/>
      <c r="HE9" s="16"/>
      <c r="HF9" s="34"/>
      <c r="HG9" s="33">
        <f>HG8</f>
        <v>46090</v>
      </c>
      <c r="HH9" s="16"/>
      <c r="HI9" s="16"/>
      <c r="HJ9" s="16"/>
      <c r="HK9" s="16"/>
      <c r="HL9" s="16"/>
      <c r="HM9" s="34"/>
      <c r="HN9" s="33">
        <f>HN8</f>
        <v>46097</v>
      </c>
      <c r="HO9" s="16"/>
      <c r="HP9" s="16"/>
      <c r="HQ9" s="16"/>
      <c r="HR9" s="16"/>
      <c r="HS9" s="16"/>
      <c r="HT9" s="34"/>
      <c r="HU9" s="33">
        <f>HU8</f>
        <v>46104</v>
      </c>
      <c r="HV9" s="16"/>
      <c r="HW9" s="16"/>
      <c r="HX9" s="16"/>
      <c r="HY9" s="16"/>
      <c r="HZ9" s="16"/>
      <c r="IA9" s="34"/>
      <c r="IB9" s="33">
        <f>IB8</f>
        <v>46111</v>
      </c>
      <c r="IC9" s="16"/>
      <c r="ID9" s="16"/>
      <c r="IE9" s="16"/>
      <c r="IF9" s="16"/>
      <c r="IG9" s="16"/>
      <c r="IH9" s="34"/>
      <c r="II9" s="33">
        <f>II8</f>
        <v>46118</v>
      </c>
      <c r="IJ9" s="16"/>
      <c r="IK9" s="16"/>
      <c r="IL9" s="16"/>
      <c r="IM9" s="16"/>
      <c r="IN9" s="16"/>
      <c r="IO9" s="34"/>
      <c r="IP9" s="8"/>
      <c r="IQ9" s="8"/>
      <c r="IR9" s="8"/>
      <c r="IS9" s="8"/>
      <c r="IT9" s="8"/>
      <c r="IU9" s="8"/>
      <c r="IV9" s="8"/>
    </row>
    <row r="10" ht="12.75" customHeight="1">
      <c r="A10" s="35">
        <f>IF(ISERROR(VALUE(SUBSTITUTE(OFFSET(A10,-1,0,1,1),".",""))),1,IF(ISERROR(FIND("`",SUBSTITUTE(OFFSET(A10,-1,0,1,1),".","`",1))),VALUE(OFFSET(A10,-1,0,1,1))+1,VALUE(LEFT(OFFSET(A10,-1,0,1,1),FIND("`",SUBSTITUTE(OFFSET(A10,-1,0,1,1),".","`",1))-1))+1))</f>
        <v>1</v>
      </c>
      <c r="B10" s="36" t="s">
        <v>20</v>
      </c>
      <c r="C10" s="37" t="s">
        <v>6</v>
      </c>
      <c r="D10" s="38">
        <v>45888.0</v>
      </c>
      <c r="E10" s="39">
        <v>45953.0</v>
      </c>
      <c r="F10" s="40"/>
      <c r="G10" s="41"/>
      <c r="H10" s="42">
        <f t="shared" ref="H10:H16" si="2">NETWORKDAYS(D10,E10)</f>
        <v>48</v>
      </c>
      <c r="I10" s="42">
        <f t="shared" ref="I10:I16" si="3">ROUNDDOWN(G10*F10,0)</f>
        <v>0</v>
      </c>
      <c r="J10" s="42">
        <f t="shared" ref="J10:J16" si="4">F10-I10</f>
        <v>0</v>
      </c>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c r="CY10" s="43"/>
      <c r="CZ10" s="43"/>
      <c r="DA10" s="43"/>
      <c r="DB10" s="43"/>
      <c r="DC10" s="43"/>
      <c r="DD10" s="43"/>
      <c r="DE10" s="43"/>
      <c r="DF10" s="43"/>
      <c r="DG10" s="43"/>
      <c r="DH10" s="43"/>
      <c r="DI10" s="43"/>
      <c r="DJ10" s="43"/>
      <c r="DK10" s="43"/>
      <c r="DL10" s="43"/>
      <c r="DM10" s="43"/>
      <c r="DN10" s="43"/>
      <c r="DO10" s="43"/>
      <c r="DP10" s="43"/>
      <c r="DQ10" s="43"/>
      <c r="DR10" s="43"/>
      <c r="DS10" s="43"/>
      <c r="DT10" s="43"/>
      <c r="DU10" s="43"/>
      <c r="DV10" s="43"/>
      <c r="DW10" s="43"/>
      <c r="DX10" s="43"/>
      <c r="DY10" s="43"/>
      <c r="DZ10" s="43"/>
      <c r="EA10" s="43"/>
      <c r="EB10" s="43"/>
      <c r="EC10" s="43"/>
      <c r="ED10" s="43"/>
      <c r="EE10" s="43"/>
      <c r="EF10" s="43"/>
      <c r="EG10" s="43"/>
      <c r="EH10" s="43"/>
      <c r="EI10" s="43"/>
      <c r="EJ10" s="43"/>
      <c r="EK10" s="43"/>
      <c r="EL10" s="43"/>
      <c r="EM10" s="43"/>
      <c r="EN10" s="43"/>
      <c r="EO10" s="43"/>
      <c r="EP10" s="43"/>
      <c r="EQ10" s="43"/>
      <c r="ER10" s="43"/>
      <c r="ES10" s="43"/>
      <c r="ET10" s="43"/>
      <c r="EU10" s="43"/>
      <c r="EV10" s="43"/>
      <c r="EW10" s="43"/>
      <c r="EX10" s="43"/>
      <c r="EY10" s="43"/>
      <c r="EZ10" s="43"/>
      <c r="FA10" s="43"/>
      <c r="FB10" s="43"/>
      <c r="FC10" s="43"/>
      <c r="FD10" s="43"/>
      <c r="FE10" s="43"/>
      <c r="FF10" s="43"/>
      <c r="FG10" s="43"/>
      <c r="FH10" s="43"/>
      <c r="FI10" s="43"/>
      <c r="FJ10" s="43"/>
      <c r="FK10" s="43"/>
      <c r="FL10" s="43"/>
      <c r="FM10" s="43"/>
      <c r="FN10" s="43"/>
      <c r="FO10" s="43"/>
      <c r="FP10" s="43"/>
      <c r="FQ10" s="43"/>
      <c r="FR10" s="43"/>
      <c r="FS10" s="43"/>
      <c r="FT10" s="43"/>
      <c r="FU10" s="43"/>
      <c r="FV10" s="43"/>
      <c r="FW10" s="43"/>
      <c r="FX10" s="43"/>
      <c r="FY10" s="43"/>
      <c r="FZ10" s="43"/>
      <c r="GA10" s="43"/>
      <c r="GB10" s="43"/>
      <c r="GC10" s="43"/>
      <c r="GD10" s="43"/>
      <c r="GE10" s="43"/>
      <c r="GF10" s="43"/>
      <c r="GG10" s="43"/>
      <c r="GH10" s="43"/>
      <c r="GI10" s="43"/>
      <c r="GJ10" s="43"/>
      <c r="GK10" s="43"/>
      <c r="GL10" s="43"/>
      <c r="GM10" s="43"/>
      <c r="GN10" s="43"/>
      <c r="GO10" s="43"/>
      <c r="GP10" s="43"/>
      <c r="GQ10" s="43"/>
      <c r="GR10" s="43"/>
      <c r="GS10" s="43"/>
      <c r="GT10" s="43"/>
      <c r="GU10" s="43"/>
      <c r="GV10" s="43"/>
      <c r="GW10" s="43"/>
      <c r="GX10" s="43"/>
      <c r="GY10" s="43"/>
      <c r="GZ10" s="43"/>
      <c r="HA10" s="43"/>
      <c r="HB10" s="43"/>
      <c r="HC10" s="43"/>
      <c r="HD10" s="43"/>
      <c r="HE10" s="43"/>
      <c r="HF10" s="43"/>
      <c r="HG10" s="43"/>
      <c r="HH10" s="43"/>
      <c r="HI10" s="43"/>
      <c r="HJ10" s="43"/>
      <c r="HK10" s="43"/>
      <c r="HL10" s="43"/>
      <c r="HM10" s="43"/>
      <c r="HN10" s="43"/>
      <c r="HO10" s="43"/>
      <c r="HP10" s="43"/>
      <c r="HQ10" s="43"/>
      <c r="HR10" s="43"/>
      <c r="HS10" s="43"/>
      <c r="HT10" s="43"/>
      <c r="HU10" s="43"/>
      <c r="HV10" s="43"/>
      <c r="HW10" s="43"/>
      <c r="HX10" s="43"/>
      <c r="HY10" s="43"/>
      <c r="HZ10" s="43"/>
      <c r="IA10" s="43"/>
      <c r="IB10" s="43"/>
      <c r="IC10" s="43"/>
      <c r="ID10" s="43"/>
      <c r="IE10" s="43"/>
      <c r="IF10" s="43"/>
      <c r="IG10" s="43"/>
      <c r="IH10" s="43"/>
      <c r="II10" s="43"/>
      <c r="IJ10" s="43"/>
      <c r="IK10" s="43"/>
      <c r="IL10" s="43"/>
      <c r="IM10" s="43"/>
      <c r="IN10" s="43"/>
      <c r="IO10" s="43"/>
      <c r="IP10" s="13"/>
      <c r="IQ10" s="13"/>
      <c r="IR10" s="13"/>
      <c r="IS10" s="13"/>
      <c r="IT10" s="13"/>
      <c r="IU10" s="13"/>
      <c r="IV10" s="13"/>
    </row>
    <row r="11" ht="12.75" customHeight="1">
      <c r="A11" s="44" t="str">
        <f t="shared" ref="A11:A12" si="5">IF(ISERROR(VALUE(SUBSTITUTE(OFFSET(A11,-1,0,1,1),".",""))),"0.1",IF(ISERROR(FIND("`",SUBSTITUTE(OFFSET(A11,-1,0,1,1),".","`",1))),OFFSET(A11,-1,0,1,1)&amp;".1",LEFT(OFFSET(A11,-1,0,1,1),FIND("`",SUBSTITUTE(OFFSET(A11,-1,0,1,1),".","`",1)))&amp;IF(ISERROR(FIND("`",SUBSTITUTE(OFFSET(A11,-1,0,1,1),".","`",2))),VALUE(RIGHT(OFFSET(A11,-1,0,1,1),LEN(OFFSET(A11,-1,0,1,1))-FIND("`",SUBSTITUTE(OFFSET(A11,-1,0,1,1),".","`",1))))+1,VALUE(MID(OFFSET(A11,-1,0,1,1),FIND("`",SUBSTITUTE(OFFSET(A11,-1,0,1,1),".","`",1))+1,(FIND("`",SUBSTITUTE(OFFSET(A11,-1,0,1,1),".","`",2))-FIND("`",SUBSTITUTE(OFFSET(A11,-1,0,1,1),".","`",1))-1)))+1)))</f>
        <v>1.1</v>
      </c>
      <c r="B11" s="45" t="s">
        <v>21</v>
      </c>
      <c r="C11" s="46"/>
      <c r="D11" s="47">
        <v>45888.0</v>
      </c>
      <c r="E11" s="48">
        <v>45890.0</v>
      </c>
      <c r="F11" s="49">
        <v>5.0</v>
      </c>
      <c r="G11" s="50"/>
      <c r="H11" s="51">
        <f t="shared" si="2"/>
        <v>3</v>
      </c>
      <c r="I11" s="51">
        <f t="shared" si="3"/>
        <v>0</v>
      </c>
      <c r="J11" s="51">
        <f t="shared" si="4"/>
        <v>5</v>
      </c>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13"/>
      <c r="IQ11" s="13"/>
      <c r="IR11" s="13"/>
      <c r="IS11" s="13"/>
      <c r="IT11" s="13"/>
      <c r="IU11" s="13"/>
      <c r="IV11" s="13"/>
    </row>
    <row r="12" ht="12.75" customHeight="1">
      <c r="A12" s="44" t="str">
        <f t="shared" si="5"/>
        <v>1.2</v>
      </c>
      <c r="B12" s="45" t="s">
        <v>22</v>
      </c>
      <c r="C12" s="46"/>
      <c r="D12" s="53">
        <v>45890.0</v>
      </c>
      <c r="E12" s="48">
        <v>45890.0</v>
      </c>
      <c r="F12" s="49">
        <v>5.0</v>
      </c>
      <c r="G12" s="50"/>
      <c r="H12" s="51">
        <f t="shared" si="2"/>
        <v>1</v>
      </c>
      <c r="I12" s="51">
        <f t="shared" si="3"/>
        <v>0</v>
      </c>
      <c r="J12" s="51">
        <f t="shared" si="4"/>
        <v>5</v>
      </c>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13"/>
      <c r="IQ12" s="13"/>
      <c r="IR12" s="13"/>
      <c r="IS12" s="13"/>
      <c r="IT12" s="13"/>
      <c r="IU12" s="13"/>
      <c r="IV12" s="13"/>
    </row>
    <row r="13" ht="12.75" customHeight="1">
      <c r="A13" s="44" t="str">
        <f t="shared" ref="A13:A14" si="6">IF(ISERROR(VALUE(SUBSTITUTE(OFFSET(A13,-1,0,1,1),".",""))),"0.0.1",IF(ISERROR(FIND("`",SUBSTITUTE(OFFSET(A13,-1,0,1,1),".","`",2))),OFFSET(A13,-1,0,1,1)&amp;".1",LEFT(OFFSET(A13,-1,0,1,1),FIND("`",SUBSTITUTE(OFFSET(A13,-1,0,1,1),".","`",2)))&amp;IF(ISERROR(FIND("`",SUBSTITUTE(OFFSET(A13,-1,0,1,1),".","`",3))),VALUE(RIGHT(OFFSET(A13,-1,0,1,1),LEN(OFFSET(A13,-1,0,1,1))-FIND("`",SUBSTITUTE(OFFSET(A13,-1,0,1,1),".","`",2))))+1,VALUE(MID(OFFSET(A13,-1,0,1,1),FIND("`",SUBSTITUTE(OFFSET(A13,-1,0,1,1),".","`",2))+1,(FIND("`",SUBSTITUTE(OFFSET(A13,-1,0,1,1),".","`",3))-FIND("`",SUBSTITUTE(OFFSET(A13,-1,0,1,1),".","`",2))-1)))+1)))</f>
        <v>1.2.1</v>
      </c>
      <c r="B13" s="54" t="s">
        <v>23</v>
      </c>
      <c r="C13" s="46"/>
      <c r="D13" s="53">
        <v>45904.0</v>
      </c>
      <c r="E13" s="48">
        <v>45904.0</v>
      </c>
      <c r="F13" s="49">
        <v>5.0</v>
      </c>
      <c r="G13" s="50"/>
      <c r="H13" s="51">
        <f t="shared" si="2"/>
        <v>1</v>
      </c>
      <c r="I13" s="51">
        <f t="shared" si="3"/>
        <v>0</v>
      </c>
      <c r="J13" s="51">
        <f t="shared" si="4"/>
        <v>5</v>
      </c>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13"/>
      <c r="IQ13" s="13"/>
      <c r="IR13" s="13"/>
      <c r="IS13" s="13"/>
      <c r="IT13" s="13"/>
      <c r="IU13" s="13"/>
      <c r="IV13" s="13"/>
    </row>
    <row r="14" ht="12.75" customHeight="1">
      <c r="A14" s="44" t="str">
        <f t="shared" si="6"/>
        <v>1.2.2</v>
      </c>
      <c r="B14" s="54" t="s">
        <v>24</v>
      </c>
      <c r="C14" s="46"/>
      <c r="D14" s="53">
        <v>45904.0</v>
      </c>
      <c r="E14" s="48">
        <v>45904.0</v>
      </c>
      <c r="F14" s="49">
        <v>5.0</v>
      </c>
      <c r="G14" s="50"/>
      <c r="H14" s="51">
        <f t="shared" si="2"/>
        <v>1</v>
      </c>
      <c r="I14" s="51">
        <f t="shared" si="3"/>
        <v>0</v>
      </c>
      <c r="J14" s="51">
        <f t="shared" si="4"/>
        <v>5</v>
      </c>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13"/>
      <c r="IQ14" s="13"/>
      <c r="IR14" s="13"/>
      <c r="IS14" s="13"/>
      <c r="IT14" s="13"/>
      <c r="IU14" s="13"/>
      <c r="IV14" s="13"/>
    </row>
    <row r="15" ht="12.75" customHeight="1">
      <c r="A15" s="44" t="str">
        <f t="shared" ref="A15:A16" si="7">IF(ISERROR(VALUE(SUBSTITUTE(OFFSET(A15,-1,0,1,1),".",""))),"0.1",IF(ISERROR(FIND("`",SUBSTITUTE(OFFSET(A15,-1,0,1,1),".","`",1))),OFFSET(A15,-1,0,1,1)&amp;".1",LEFT(OFFSET(A15,-1,0,1,1),FIND("`",SUBSTITUTE(OFFSET(A15,-1,0,1,1),".","`",1)))&amp;IF(ISERROR(FIND("`",SUBSTITUTE(OFFSET(A15,-1,0,1,1),".","`",2))),VALUE(RIGHT(OFFSET(A15,-1,0,1,1),LEN(OFFSET(A15,-1,0,1,1))-FIND("`",SUBSTITUTE(OFFSET(A15,-1,0,1,1),".","`",1))))+1,VALUE(MID(OFFSET(A15,-1,0,1,1),FIND("`",SUBSTITUTE(OFFSET(A15,-1,0,1,1),".","`",1))+1,(FIND("`",SUBSTITUTE(OFFSET(A15,-1,0,1,1),".","`",2))-FIND("`",SUBSTITUTE(OFFSET(A15,-1,0,1,1),".","`",1))-1)))+1)))</f>
        <v>1.3</v>
      </c>
      <c r="B15" s="45" t="s">
        <v>25</v>
      </c>
      <c r="C15" s="46"/>
      <c r="D15" s="53">
        <v>45911.0</v>
      </c>
      <c r="E15" s="48">
        <v>45911.0</v>
      </c>
      <c r="F15" s="49">
        <v>5.0</v>
      </c>
      <c r="G15" s="50"/>
      <c r="H15" s="51">
        <f t="shared" si="2"/>
        <v>1</v>
      </c>
      <c r="I15" s="51">
        <f t="shared" si="3"/>
        <v>0</v>
      </c>
      <c r="J15" s="51">
        <f t="shared" si="4"/>
        <v>5</v>
      </c>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13"/>
      <c r="IQ15" s="13"/>
      <c r="IR15" s="13"/>
      <c r="IS15" s="13"/>
      <c r="IT15" s="13"/>
      <c r="IU15" s="13"/>
      <c r="IV15" s="13"/>
    </row>
    <row r="16" ht="12.0" customHeight="1">
      <c r="A16" s="44" t="str">
        <f t="shared" si="7"/>
        <v>1.4</v>
      </c>
      <c r="B16" s="45" t="s">
        <v>26</v>
      </c>
      <c r="C16" s="46"/>
      <c r="D16" s="53">
        <v>45913.0</v>
      </c>
      <c r="E16" s="48">
        <v>45913.0</v>
      </c>
      <c r="F16" s="49">
        <v>5.0</v>
      </c>
      <c r="G16" s="50"/>
      <c r="H16" s="51">
        <f t="shared" si="2"/>
        <v>0</v>
      </c>
      <c r="I16" s="51">
        <f t="shared" si="3"/>
        <v>0</v>
      </c>
      <c r="J16" s="51">
        <f t="shared" si="4"/>
        <v>5</v>
      </c>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13"/>
      <c r="IQ16" s="13"/>
      <c r="IR16" s="13"/>
      <c r="IS16" s="13"/>
      <c r="IT16" s="13"/>
      <c r="IU16" s="13"/>
      <c r="IV16" s="13"/>
    </row>
    <row r="17" ht="12.0" customHeight="1">
      <c r="A17" s="55">
        <v>1.5</v>
      </c>
      <c r="B17" s="45" t="s">
        <v>27</v>
      </c>
      <c r="C17" s="46"/>
      <c r="D17" s="56">
        <v>45939.0</v>
      </c>
      <c r="E17" s="57">
        <v>45939.0</v>
      </c>
      <c r="F17" s="49"/>
      <c r="G17" s="58"/>
      <c r="H17" s="51"/>
      <c r="I17" s="51"/>
      <c r="J17" s="51"/>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13"/>
      <c r="IQ17" s="13"/>
      <c r="IR17" s="13"/>
      <c r="IS17" s="13"/>
      <c r="IT17" s="13"/>
      <c r="IU17" s="13"/>
      <c r="IV17" s="13"/>
    </row>
    <row r="18" ht="12.0" customHeight="1">
      <c r="A18" s="55">
        <v>1.6</v>
      </c>
      <c r="B18" s="45" t="s">
        <v>28</v>
      </c>
      <c r="C18" s="46"/>
      <c r="D18" s="56">
        <v>45946.0</v>
      </c>
      <c r="E18" s="57">
        <v>45946.0</v>
      </c>
      <c r="F18" s="49"/>
      <c r="G18" s="58"/>
      <c r="H18" s="51"/>
      <c r="I18" s="51"/>
      <c r="J18" s="51"/>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13"/>
      <c r="IQ18" s="13"/>
      <c r="IR18" s="13"/>
      <c r="IS18" s="13"/>
      <c r="IT18" s="13"/>
      <c r="IU18" s="13"/>
      <c r="IV18" s="13"/>
    </row>
    <row r="19" ht="15.0" customHeight="1">
      <c r="A19" s="59">
        <f>IF(ISERROR(VALUE(SUBSTITUTE(OFFSET(A19,-1,0,1,1),".",""))),1,IF(ISERROR(FIND("`",SUBSTITUTE(OFFSET(A19,-1,0,1,1),".","`",1))),VALUE(OFFSET(A19,-1,0,1,1))+1,VALUE(LEFT(OFFSET(A19,-1,0,1,1),FIND("`",SUBSTITUTE(OFFSET(A19,-1,0,1,1),".","`",1))-1))+1))</f>
        <v>2</v>
      </c>
      <c r="B19" s="60" t="s">
        <v>29</v>
      </c>
      <c r="C19" s="61" t="s">
        <v>30</v>
      </c>
      <c r="D19" s="62">
        <f>MIN(D20:D23)</f>
        <v>45889</v>
      </c>
      <c r="E19" s="39">
        <v>45907.0</v>
      </c>
      <c r="F19" s="63">
        <f>MAX(E20:E23)-D19+1</f>
        <v>8</v>
      </c>
      <c r="G19" s="64">
        <f>SUMPRODUCT(F20:F23,G20:G23)/SUM(F20:F23)</f>
        <v>0.0625</v>
      </c>
      <c r="H19" s="65">
        <f t="shared" ref="H19:H23" si="8">NETWORKDAYS(D19,E19)</f>
        <v>13</v>
      </c>
      <c r="I19" s="65">
        <f t="shared" ref="I19:I23" si="9">ROUNDDOWN(G19*F19,0)</f>
        <v>0</v>
      </c>
      <c r="J19" s="65">
        <f t="shared" ref="J19:J23" si="10">F19-I19</f>
        <v>8</v>
      </c>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c r="DA19" s="66"/>
      <c r="DB19" s="66"/>
      <c r="DC19" s="66"/>
      <c r="DD19" s="66"/>
      <c r="DE19" s="66"/>
      <c r="DF19" s="66"/>
      <c r="DG19" s="66"/>
      <c r="DH19" s="66"/>
      <c r="DI19" s="66"/>
      <c r="DJ19" s="66"/>
      <c r="DK19" s="66"/>
      <c r="DL19" s="66"/>
      <c r="DM19" s="66"/>
      <c r="DN19" s="66"/>
      <c r="DO19" s="66"/>
      <c r="DP19" s="66"/>
      <c r="DQ19" s="66"/>
      <c r="DR19" s="66"/>
      <c r="DS19" s="66"/>
      <c r="DT19" s="66"/>
      <c r="DU19" s="66"/>
      <c r="DV19" s="66"/>
      <c r="DW19" s="66"/>
      <c r="DX19" s="66"/>
      <c r="DY19" s="66"/>
      <c r="DZ19" s="66"/>
      <c r="EA19" s="66"/>
      <c r="EB19" s="66"/>
      <c r="EC19" s="66"/>
      <c r="ED19" s="66"/>
      <c r="EE19" s="66"/>
      <c r="EF19" s="66"/>
      <c r="EG19" s="66"/>
      <c r="EH19" s="66"/>
      <c r="EI19" s="66"/>
      <c r="EJ19" s="66"/>
      <c r="EK19" s="66"/>
      <c r="EL19" s="66"/>
      <c r="EM19" s="66"/>
      <c r="EN19" s="66"/>
      <c r="EO19" s="66"/>
      <c r="EP19" s="66"/>
      <c r="EQ19" s="66"/>
      <c r="ER19" s="66"/>
      <c r="ES19" s="66"/>
      <c r="ET19" s="66"/>
      <c r="EU19" s="66"/>
      <c r="EV19" s="66"/>
      <c r="EW19" s="66"/>
      <c r="EX19" s="66"/>
      <c r="EY19" s="66"/>
      <c r="EZ19" s="66"/>
      <c r="FA19" s="66"/>
      <c r="FB19" s="66"/>
      <c r="FC19" s="66"/>
      <c r="FD19" s="66"/>
      <c r="FE19" s="66"/>
      <c r="FF19" s="66"/>
      <c r="FG19" s="66"/>
      <c r="FH19" s="66"/>
      <c r="FI19" s="66"/>
      <c r="FJ19" s="66"/>
      <c r="FK19" s="66"/>
      <c r="FL19" s="66"/>
      <c r="FM19" s="66"/>
      <c r="FN19" s="66"/>
      <c r="FO19" s="66"/>
      <c r="FP19" s="66"/>
      <c r="FQ19" s="66"/>
      <c r="FR19" s="66"/>
      <c r="FS19" s="66"/>
      <c r="FT19" s="66"/>
      <c r="FU19" s="66"/>
      <c r="FV19" s="66"/>
      <c r="FW19" s="66"/>
      <c r="FX19" s="66"/>
      <c r="FY19" s="66"/>
      <c r="FZ19" s="66"/>
      <c r="GA19" s="66"/>
      <c r="GB19" s="66"/>
      <c r="GC19" s="66"/>
      <c r="GD19" s="66"/>
      <c r="GE19" s="66"/>
      <c r="GF19" s="66"/>
      <c r="GG19" s="66"/>
      <c r="GH19" s="66"/>
      <c r="GI19" s="66"/>
      <c r="GJ19" s="66"/>
      <c r="GK19" s="66"/>
      <c r="GL19" s="66"/>
      <c r="GM19" s="66"/>
      <c r="GN19" s="66"/>
      <c r="GO19" s="66"/>
      <c r="GP19" s="66"/>
      <c r="GQ19" s="66"/>
      <c r="GR19" s="66"/>
      <c r="GS19" s="66"/>
      <c r="GT19" s="66"/>
      <c r="GU19" s="66"/>
      <c r="GV19" s="66"/>
      <c r="GW19" s="66"/>
      <c r="GX19" s="66"/>
      <c r="GY19" s="66"/>
      <c r="GZ19" s="66"/>
      <c r="HA19" s="66"/>
      <c r="HB19" s="66"/>
      <c r="HC19" s="66"/>
      <c r="HD19" s="66"/>
      <c r="HE19" s="66"/>
      <c r="HF19" s="66"/>
      <c r="HG19" s="66"/>
      <c r="HH19" s="66"/>
      <c r="HI19" s="66"/>
      <c r="HJ19" s="66"/>
      <c r="HK19" s="66"/>
      <c r="HL19" s="66"/>
      <c r="HM19" s="66"/>
      <c r="HN19" s="66"/>
      <c r="HO19" s="66"/>
      <c r="HP19" s="66"/>
      <c r="HQ19" s="66"/>
      <c r="HR19" s="66"/>
      <c r="HS19" s="66"/>
      <c r="HT19" s="66"/>
      <c r="HU19" s="66"/>
      <c r="HV19" s="66"/>
      <c r="HW19" s="66"/>
      <c r="HX19" s="66"/>
      <c r="HY19" s="66"/>
      <c r="HZ19" s="66"/>
      <c r="IA19" s="66"/>
      <c r="IB19" s="66"/>
      <c r="IC19" s="66"/>
      <c r="ID19" s="66"/>
      <c r="IE19" s="66"/>
      <c r="IF19" s="66"/>
      <c r="IG19" s="66"/>
      <c r="IH19" s="66"/>
      <c r="II19" s="66"/>
      <c r="IJ19" s="66"/>
      <c r="IK19" s="66"/>
      <c r="IL19" s="66"/>
      <c r="IM19" s="66"/>
      <c r="IN19" s="66"/>
      <c r="IO19" s="66"/>
      <c r="IP19" s="13"/>
      <c r="IQ19" s="13"/>
      <c r="IR19" s="13"/>
      <c r="IS19" s="13"/>
      <c r="IT19" s="13"/>
      <c r="IU19" s="13"/>
      <c r="IV19" s="13"/>
    </row>
    <row r="20" ht="12.75" customHeight="1">
      <c r="A20" s="44" t="str">
        <f t="shared" ref="A20:A23" si="11">IF(ISERROR(VALUE(SUBSTITUTE(OFFSET(A20,-1,0,1,1),".",""))),"0.1",IF(ISERROR(FIND("`",SUBSTITUTE(OFFSET(A20,-1,0,1,1),".","`",1))),OFFSET(A20,-1,0,1,1)&amp;".1",LEFT(OFFSET(A20,-1,0,1,1),FIND("`",SUBSTITUTE(OFFSET(A20,-1,0,1,1),".","`",1)))&amp;IF(ISERROR(FIND("`",SUBSTITUTE(OFFSET(A20,-1,0,1,1),".","`",2))),VALUE(RIGHT(OFFSET(A20,-1,0,1,1),LEN(OFFSET(A20,-1,0,1,1))-FIND("`",SUBSTITUTE(OFFSET(A20,-1,0,1,1),".","`",1))))+1,VALUE(MID(OFFSET(A20,-1,0,1,1),FIND("`",SUBSTITUTE(OFFSET(A20,-1,0,1,1),".","`",1))+1,(FIND("`",SUBSTITUTE(OFFSET(A20,-1,0,1,1),".","`",2))-FIND("`",SUBSTITUTE(OFFSET(A20,-1,0,1,1),".","`",1))-1)))+1)))</f>
        <v>2.1</v>
      </c>
      <c r="B20" s="45" t="s">
        <v>31</v>
      </c>
      <c r="C20" s="46"/>
      <c r="D20" s="53">
        <v>45889.0</v>
      </c>
      <c r="E20" s="48">
        <v>45891.0</v>
      </c>
      <c r="F20" s="49">
        <v>5.0</v>
      </c>
      <c r="G20" s="58">
        <v>0.25</v>
      </c>
      <c r="H20" s="51">
        <f t="shared" si="8"/>
        <v>3</v>
      </c>
      <c r="I20" s="51">
        <f t="shared" si="9"/>
        <v>1</v>
      </c>
      <c r="J20" s="51">
        <f t="shared" si="10"/>
        <v>4</v>
      </c>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13"/>
      <c r="IQ20" s="13"/>
      <c r="IR20" s="13"/>
      <c r="IS20" s="13"/>
      <c r="IT20" s="13"/>
      <c r="IU20" s="13"/>
      <c r="IV20" s="13"/>
    </row>
    <row r="21" ht="12.75" customHeight="1">
      <c r="A21" s="44" t="str">
        <f t="shared" si="11"/>
        <v>2.2</v>
      </c>
      <c r="B21" s="45" t="s">
        <v>32</v>
      </c>
      <c r="C21" s="46"/>
      <c r="D21" s="53">
        <v>45892.0</v>
      </c>
      <c r="E21" s="48">
        <v>45892.0</v>
      </c>
      <c r="F21" s="49">
        <v>5.0</v>
      </c>
      <c r="G21" s="58"/>
      <c r="H21" s="51">
        <f t="shared" si="8"/>
        <v>0</v>
      </c>
      <c r="I21" s="51">
        <f t="shared" si="9"/>
        <v>0</v>
      </c>
      <c r="J21" s="51">
        <f t="shared" si="10"/>
        <v>5</v>
      </c>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13"/>
      <c r="IQ21" s="13"/>
      <c r="IR21" s="13"/>
      <c r="IS21" s="13"/>
      <c r="IT21" s="13"/>
      <c r="IU21" s="13"/>
      <c r="IV21" s="13"/>
    </row>
    <row r="22" ht="12.75" customHeight="1">
      <c r="A22" s="44" t="str">
        <f t="shared" si="11"/>
        <v>2.3</v>
      </c>
      <c r="B22" s="45" t="s">
        <v>33</v>
      </c>
      <c r="C22" s="46"/>
      <c r="D22" s="53">
        <v>45893.0</v>
      </c>
      <c r="E22" s="48">
        <v>45894.0</v>
      </c>
      <c r="F22" s="49">
        <v>5.0</v>
      </c>
      <c r="G22" s="58"/>
      <c r="H22" s="51">
        <f t="shared" si="8"/>
        <v>1</v>
      </c>
      <c r="I22" s="51">
        <f t="shared" si="9"/>
        <v>0</v>
      </c>
      <c r="J22" s="51">
        <f t="shared" si="10"/>
        <v>5</v>
      </c>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13"/>
      <c r="IQ22" s="13"/>
      <c r="IR22" s="13"/>
      <c r="IS22" s="13"/>
      <c r="IT22" s="13"/>
      <c r="IU22" s="13"/>
      <c r="IV22" s="13"/>
    </row>
    <row r="23" ht="12.75" customHeight="1">
      <c r="A23" s="44" t="str">
        <f t="shared" si="11"/>
        <v>2.4</v>
      </c>
      <c r="B23" s="45" t="s">
        <v>34</v>
      </c>
      <c r="C23" s="46"/>
      <c r="D23" s="53">
        <v>45896.0</v>
      </c>
      <c r="E23" s="67">
        <v>45896.0</v>
      </c>
      <c r="F23" s="49">
        <v>5.0</v>
      </c>
      <c r="G23" s="58"/>
      <c r="H23" s="51">
        <f t="shared" si="8"/>
        <v>1</v>
      </c>
      <c r="I23" s="51">
        <f t="shared" si="9"/>
        <v>0</v>
      </c>
      <c r="J23" s="51">
        <f t="shared" si="10"/>
        <v>5</v>
      </c>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13"/>
      <c r="IQ23" s="13"/>
      <c r="IR23" s="13"/>
      <c r="IS23" s="13"/>
      <c r="IT23" s="13"/>
      <c r="IU23" s="13"/>
      <c r="IV23" s="13"/>
    </row>
    <row r="24" ht="12.75" customHeight="1">
      <c r="A24" s="55">
        <v>2.5</v>
      </c>
      <c r="B24" s="45" t="s">
        <v>35</v>
      </c>
      <c r="C24" s="46"/>
      <c r="D24" s="56">
        <v>45901.0</v>
      </c>
      <c r="E24" s="57">
        <v>45903.0</v>
      </c>
      <c r="F24" s="49"/>
      <c r="G24" s="58"/>
      <c r="H24" s="51"/>
      <c r="I24" s="51"/>
      <c r="J24" s="51"/>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13"/>
      <c r="IQ24" s="13"/>
      <c r="IR24" s="13"/>
      <c r="IS24" s="13"/>
      <c r="IT24" s="13"/>
      <c r="IU24" s="13"/>
      <c r="IV24" s="13"/>
    </row>
    <row r="25" ht="12.75" customHeight="1">
      <c r="A25" s="55">
        <v>2.6</v>
      </c>
      <c r="B25" s="45" t="s">
        <v>36</v>
      </c>
      <c r="C25" s="46"/>
      <c r="D25" s="56">
        <v>45905.0</v>
      </c>
      <c r="E25" s="57">
        <v>45907.0</v>
      </c>
      <c r="F25" s="49"/>
      <c r="G25" s="58"/>
      <c r="H25" s="51"/>
      <c r="I25" s="51"/>
      <c r="J25" s="51"/>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M25" s="52"/>
      <c r="CN25" s="52"/>
      <c r="CO25" s="52"/>
      <c r="CP25" s="52"/>
      <c r="CQ25" s="52"/>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13"/>
      <c r="IQ25" s="13"/>
      <c r="IR25" s="13"/>
      <c r="IS25" s="13"/>
      <c r="IT25" s="13"/>
      <c r="IU25" s="13"/>
      <c r="IV25" s="13"/>
    </row>
    <row r="26" ht="12.75" customHeight="1">
      <c r="A26" s="59">
        <f>IF(ISERROR(VALUE(SUBSTITUTE(OFFSET(A26,-1,0,1,1),".",""))),1,IF(ISERROR(FIND("`",SUBSTITUTE(OFFSET(A26,-1,0,1,1),".","`",1))),VALUE(OFFSET(A26,-1,0,1,1))+1,VALUE(LEFT(OFFSET(A26,-1,0,1,1),FIND("`",SUBSTITUTE(OFFSET(A26,-1,0,1,1),".","`",1))-1))+1))</f>
        <v>3</v>
      </c>
      <c r="B26" s="60" t="s">
        <v>37</v>
      </c>
      <c r="C26" s="61" t="s">
        <v>30</v>
      </c>
      <c r="D26" s="62">
        <f>MIN(D27:D30)</f>
        <v>45907</v>
      </c>
      <c r="E26" s="68">
        <f>D26+F26-1</f>
        <v>45909</v>
      </c>
      <c r="F26" s="63">
        <f>MAX(E27:E30)-D26+1</f>
        <v>3</v>
      </c>
      <c r="G26" s="64">
        <f>SUMPRODUCT(F27:F30,G27:G30)/SUM(F27:F30)</f>
        <v>0.5</v>
      </c>
      <c r="H26" s="65">
        <f t="shared" ref="H26:H30" si="12">NETWORKDAYS(D26,E26)</f>
        <v>2</v>
      </c>
      <c r="I26" s="65">
        <f t="shared" ref="I26:I30" si="13">ROUNDDOWN(G26*F26,0)</f>
        <v>1</v>
      </c>
      <c r="J26" s="65">
        <f t="shared" ref="J26:J30" si="14">F26-I26</f>
        <v>2</v>
      </c>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6"/>
      <c r="CG26" s="66"/>
      <c r="CH26" s="66"/>
      <c r="CI26" s="66"/>
      <c r="CJ26" s="66"/>
      <c r="CK26" s="66"/>
      <c r="CL26" s="66"/>
      <c r="CM26" s="66"/>
      <c r="CN26" s="66"/>
      <c r="CO26" s="66"/>
      <c r="CP26" s="66"/>
      <c r="CQ26" s="66"/>
      <c r="CR26" s="66"/>
      <c r="CS26" s="66"/>
      <c r="CT26" s="66"/>
      <c r="CU26" s="66"/>
      <c r="CV26" s="66"/>
      <c r="CW26" s="66"/>
      <c r="CX26" s="66"/>
      <c r="CY26" s="66"/>
      <c r="CZ26" s="66"/>
      <c r="DA26" s="66"/>
      <c r="DB26" s="66"/>
      <c r="DC26" s="66"/>
      <c r="DD26" s="66"/>
      <c r="DE26" s="66"/>
      <c r="DF26" s="66"/>
      <c r="DG26" s="66"/>
      <c r="DH26" s="66"/>
      <c r="DI26" s="66"/>
      <c r="DJ26" s="66"/>
      <c r="DK26" s="66"/>
      <c r="DL26" s="66"/>
      <c r="DM26" s="66"/>
      <c r="DN26" s="66"/>
      <c r="DO26" s="66"/>
      <c r="DP26" s="66"/>
      <c r="DQ26" s="66"/>
      <c r="DR26" s="66"/>
      <c r="DS26" s="66"/>
      <c r="DT26" s="66"/>
      <c r="DU26" s="66"/>
      <c r="DV26" s="66"/>
      <c r="DW26" s="66"/>
      <c r="DX26" s="66"/>
      <c r="DY26" s="66"/>
      <c r="DZ26" s="66"/>
      <c r="EA26" s="66"/>
      <c r="EB26" s="66"/>
      <c r="EC26" s="66"/>
      <c r="ED26" s="66"/>
      <c r="EE26" s="66"/>
      <c r="EF26" s="66"/>
      <c r="EG26" s="66"/>
      <c r="EH26" s="66"/>
      <c r="EI26" s="66"/>
      <c r="EJ26" s="66"/>
      <c r="EK26" s="66"/>
      <c r="EL26" s="66"/>
      <c r="EM26" s="66"/>
      <c r="EN26" s="66"/>
      <c r="EO26" s="66"/>
      <c r="EP26" s="66"/>
      <c r="EQ26" s="66"/>
      <c r="ER26" s="66"/>
      <c r="ES26" s="66"/>
      <c r="ET26" s="66"/>
      <c r="EU26" s="66"/>
      <c r="EV26" s="66"/>
      <c r="EW26" s="66"/>
      <c r="EX26" s="66"/>
      <c r="EY26" s="66"/>
      <c r="EZ26" s="66"/>
      <c r="FA26" s="66"/>
      <c r="FB26" s="66"/>
      <c r="FC26" s="66"/>
      <c r="FD26" s="66"/>
      <c r="FE26" s="66"/>
      <c r="FF26" s="66"/>
      <c r="FG26" s="66"/>
      <c r="FH26" s="66"/>
      <c r="FI26" s="66"/>
      <c r="FJ26" s="66"/>
      <c r="FK26" s="66"/>
      <c r="FL26" s="66"/>
      <c r="FM26" s="66"/>
      <c r="FN26" s="66"/>
      <c r="FO26" s="66"/>
      <c r="FP26" s="66"/>
      <c r="FQ26" s="66"/>
      <c r="FR26" s="66"/>
      <c r="FS26" s="66"/>
      <c r="FT26" s="66"/>
      <c r="FU26" s="66"/>
      <c r="FV26" s="66"/>
      <c r="FW26" s="66"/>
      <c r="FX26" s="66"/>
      <c r="FY26" s="66"/>
      <c r="FZ26" s="66"/>
      <c r="GA26" s="66"/>
      <c r="GB26" s="66"/>
      <c r="GC26" s="66"/>
      <c r="GD26" s="66"/>
      <c r="GE26" s="66"/>
      <c r="GF26" s="66"/>
      <c r="GG26" s="66"/>
      <c r="GH26" s="66"/>
      <c r="GI26" s="66"/>
      <c r="GJ26" s="66"/>
      <c r="GK26" s="66"/>
      <c r="GL26" s="66"/>
      <c r="GM26" s="66"/>
      <c r="GN26" s="66"/>
      <c r="GO26" s="66"/>
      <c r="GP26" s="66"/>
      <c r="GQ26" s="66"/>
      <c r="GR26" s="66"/>
      <c r="GS26" s="66"/>
      <c r="GT26" s="66"/>
      <c r="GU26" s="66"/>
      <c r="GV26" s="66"/>
      <c r="GW26" s="66"/>
      <c r="GX26" s="66"/>
      <c r="GY26" s="66"/>
      <c r="GZ26" s="66"/>
      <c r="HA26" s="66"/>
      <c r="HB26" s="66"/>
      <c r="HC26" s="66"/>
      <c r="HD26" s="66"/>
      <c r="HE26" s="66"/>
      <c r="HF26" s="66"/>
      <c r="HG26" s="66"/>
      <c r="HH26" s="66"/>
      <c r="HI26" s="66"/>
      <c r="HJ26" s="66"/>
      <c r="HK26" s="66"/>
      <c r="HL26" s="66"/>
      <c r="HM26" s="66"/>
      <c r="HN26" s="66"/>
      <c r="HO26" s="66"/>
      <c r="HP26" s="66"/>
      <c r="HQ26" s="66"/>
      <c r="HR26" s="66"/>
      <c r="HS26" s="66"/>
      <c r="HT26" s="66"/>
      <c r="HU26" s="66"/>
      <c r="HV26" s="66"/>
      <c r="HW26" s="66"/>
      <c r="HX26" s="66"/>
      <c r="HY26" s="66"/>
      <c r="HZ26" s="66"/>
      <c r="IA26" s="66"/>
      <c r="IB26" s="66"/>
      <c r="IC26" s="66"/>
      <c r="ID26" s="66"/>
      <c r="IE26" s="66"/>
      <c r="IF26" s="66"/>
      <c r="IG26" s="66"/>
      <c r="IH26" s="66"/>
      <c r="II26" s="66"/>
      <c r="IJ26" s="66"/>
      <c r="IK26" s="66"/>
      <c r="IL26" s="66"/>
      <c r="IM26" s="66"/>
      <c r="IN26" s="66"/>
      <c r="IO26" s="66"/>
      <c r="IP26" s="13"/>
      <c r="IQ26" s="13"/>
      <c r="IR26" s="13"/>
      <c r="IS26" s="13"/>
      <c r="IT26" s="13"/>
      <c r="IU26" s="13"/>
      <c r="IV26" s="13"/>
    </row>
    <row r="27" ht="12.75" customHeight="1">
      <c r="A27" s="44" t="str">
        <f t="shared" ref="A27:A30" si="15">IF(ISERROR(VALUE(SUBSTITUTE(OFFSET(A27,-1,0,1,1),".",""))),"0.1",IF(ISERROR(FIND("`",SUBSTITUTE(OFFSET(A27,-1,0,1,1),".","`",1))),OFFSET(A27,-1,0,1,1)&amp;".1",LEFT(OFFSET(A27,-1,0,1,1),FIND("`",SUBSTITUTE(OFFSET(A27,-1,0,1,1),".","`",1)))&amp;IF(ISERROR(FIND("`",SUBSTITUTE(OFFSET(A27,-1,0,1,1),".","`",2))),VALUE(RIGHT(OFFSET(A27,-1,0,1,1),LEN(OFFSET(A27,-1,0,1,1))-FIND("`",SUBSTITUTE(OFFSET(A27,-1,0,1,1),".","`",1))))+1,VALUE(MID(OFFSET(A27,-1,0,1,1),FIND("`",SUBSTITUTE(OFFSET(A27,-1,0,1,1),".","`",1))+1,(FIND("`",SUBSTITUTE(OFFSET(A27,-1,0,1,1),".","`",2))-FIND("`",SUBSTITUTE(OFFSET(A27,-1,0,1,1),".","`",1))-1)))+1)))</f>
        <v>3.1</v>
      </c>
      <c r="B27" s="45" t="s">
        <v>38</v>
      </c>
      <c r="C27" s="46"/>
      <c r="D27" s="53">
        <v>45907.0</v>
      </c>
      <c r="E27" s="48">
        <v>45907.0</v>
      </c>
      <c r="F27" s="49">
        <v>6.0</v>
      </c>
      <c r="G27" s="58">
        <v>0.5</v>
      </c>
      <c r="H27" s="51">
        <f t="shared" si="12"/>
        <v>0</v>
      </c>
      <c r="I27" s="51">
        <f t="shared" si="13"/>
        <v>3</v>
      </c>
      <c r="J27" s="51">
        <f t="shared" si="14"/>
        <v>3</v>
      </c>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13"/>
      <c r="IQ27" s="13"/>
      <c r="IR27" s="13"/>
      <c r="IS27" s="13"/>
      <c r="IT27" s="13"/>
      <c r="IU27" s="13"/>
      <c r="IV27" s="13"/>
    </row>
    <row r="28" ht="12.75" customHeight="1">
      <c r="A28" s="44" t="str">
        <f t="shared" si="15"/>
        <v>3.2</v>
      </c>
      <c r="B28" s="45" t="s">
        <v>39</v>
      </c>
      <c r="C28" s="46"/>
      <c r="D28" s="53">
        <v>45907.0</v>
      </c>
      <c r="E28" s="48">
        <v>45907.0</v>
      </c>
      <c r="F28" s="49">
        <v>6.0</v>
      </c>
      <c r="G28" s="58">
        <v>0.5</v>
      </c>
      <c r="H28" s="51">
        <f t="shared" si="12"/>
        <v>0</v>
      </c>
      <c r="I28" s="51">
        <f t="shared" si="13"/>
        <v>3</v>
      </c>
      <c r="J28" s="51">
        <f t="shared" si="14"/>
        <v>3</v>
      </c>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c r="EA28" s="52"/>
      <c r="EB28" s="52"/>
      <c r="EC28" s="52"/>
      <c r="ED28" s="52"/>
      <c r="EE28" s="52"/>
      <c r="EF28" s="52"/>
      <c r="EG28" s="52"/>
      <c r="EH28" s="52"/>
      <c r="EI28" s="52"/>
      <c r="EJ28" s="52"/>
      <c r="EK28" s="52"/>
      <c r="EL28" s="52"/>
      <c r="EM28" s="52"/>
      <c r="EN28" s="52"/>
      <c r="EO28" s="52"/>
      <c r="EP28" s="52"/>
      <c r="EQ28" s="52"/>
      <c r="ER28" s="52"/>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13"/>
      <c r="IQ28" s="13"/>
      <c r="IR28" s="13"/>
      <c r="IS28" s="13"/>
      <c r="IT28" s="13"/>
      <c r="IU28" s="13"/>
      <c r="IV28" s="13"/>
    </row>
    <row r="29" ht="12.75" customHeight="1">
      <c r="A29" s="44" t="str">
        <f t="shared" si="15"/>
        <v>3.3</v>
      </c>
      <c r="B29" s="45" t="s">
        <v>40</v>
      </c>
      <c r="C29" s="46"/>
      <c r="D29" s="69">
        <v>45908.0</v>
      </c>
      <c r="E29" s="48">
        <v>45908.0</v>
      </c>
      <c r="F29" s="49">
        <v>6.0</v>
      </c>
      <c r="G29" s="58">
        <v>0.5</v>
      </c>
      <c r="H29" s="51">
        <f t="shared" si="12"/>
        <v>1</v>
      </c>
      <c r="I29" s="51">
        <f t="shared" si="13"/>
        <v>3</v>
      </c>
      <c r="J29" s="51">
        <f t="shared" si="14"/>
        <v>3</v>
      </c>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c r="EA29" s="52"/>
      <c r="EB29" s="52"/>
      <c r="EC29" s="52"/>
      <c r="ED29" s="52"/>
      <c r="EE29" s="52"/>
      <c r="EF29" s="52"/>
      <c r="EG29" s="52"/>
      <c r="EH29" s="52"/>
      <c r="EI29" s="52"/>
      <c r="EJ29" s="52"/>
      <c r="EK29" s="52"/>
      <c r="EL29" s="52"/>
      <c r="EM29" s="52"/>
      <c r="EN29" s="52"/>
      <c r="EO29" s="52"/>
      <c r="EP29" s="52"/>
      <c r="EQ29" s="52"/>
      <c r="ER29" s="52"/>
      <c r="ES29" s="52"/>
      <c r="ET29" s="52"/>
      <c r="EU29" s="52"/>
      <c r="EV29" s="52"/>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13"/>
      <c r="IQ29" s="13"/>
      <c r="IR29" s="13"/>
      <c r="IS29" s="13"/>
      <c r="IT29" s="13"/>
      <c r="IU29" s="13"/>
      <c r="IV29" s="13"/>
    </row>
    <row r="30" ht="12.75" customHeight="1">
      <c r="A30" s="44" t="str">
        <f t="shared" si="15"/>
        <v>3.4</v>
      </c>
      <c r="B30" s="45" t="s">
        <v>41</v>
      </c>
      <c r="C30" s="46"/>
      <c r="D30" s="53">
        <v>45909.0</v>
      </c>
      <c r="E30" s="48">
        <v>45909.0</v>
      </c>
      <c r="F30" s="49">
        <v>6.0</v>
      </c>
      <c r="G30" s="58">
        <v>0.5</v>
      </c>
      <c r="H30" s="51">
        <f t="shared" si="12"/>
        <v>1</v>
      </c>
      <c r="I30" s="51">
        <f t="shared" si="13"/>
        <v>3</v>
      </c>
      <c r="J30" s="51">
        <f t="shared" si="14"/>
        <v>3</v>
      </c>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c r="EA30" s="52"/>
      <c r="EB30" s="52"/>
      <c r="EC30" s="52"/>
      <c r="ED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13"/>
      <c r="IQ30" s="13"/>
      <c r="IR30" s="13"/>
      <c r="IS30" s="13"/>
      <c r="IT30" s="13"/>
      <c r="IU30" s="13"/>
      <c r="IV30" s="13"/>
    </row>
    <row r="31" ht="12.75" customHeight="1">
      <c r="A31" s="55">
        <v>3.5</v>
      </c>
      <c r="B31" s="45" t="s">
        <v>42</v>
      </c>
      <c r="C31" s="46"/>
      <c r="D31" s="70"/>
      <c r="E31" s="71"/>
      <c r="F31" s="49"/>
      <c r="G31" s="58"/>
      <c r="H31" s="51"/>
      <c r="I31" s="51"/>
      <c r="J31" s="51"/>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13"/>
      <c r="IQ31" s="13"/>
      <c r="IR31" s="13"/>
      <c r="IS31" s="13"/>
      <c r="IT31" s="13"/>
      <c r="IU31" s="13"/>
      <c r="IV31" s="13"/>
    </row>
    <row r="32" ht="12.75" customHeight="1">
      <c r="A32" s="55">
        <v>3.6</v>
      </c>
      <c r="B32" s="45" t="s">
        <v>43</v>
      </c>
      <c r="C32" s="46"/>
      <c r="D32" s="70"/>
      <c r="E32" s="71"/>
      <c r="F32" s="49"/>
      <c r="G32" s="58"/>
      <c r="H32" s="51"/>
      <c r="I32" s="51"/>
      <c r="J32" s="51"/>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c r="EA32" s="52"/>
      <c r="EB32" s="52"/>
      <c r="EC32" s="52"/>
      <c r="ED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13"/>
      <c r="IQ32" s="13"/>
      <c r="IR32" s="13"/>
      <c r="IS32" s="13"/>
      <c r="IT32" s="13"/>
      <c r="IU32" s="13"/>
      <c r="IV32" s="13"/>
    </row>
    <row r="33" ht="12.75" customHeight="1">
      <c r="A33" s="72">
        <v>3.7</v>
      </c>
      <c r="B33" s="73" t="s">
        <v>44</v>
      </c>
      <c r="C33" s="74"/>
      <c r="D33" s="75"/>
      <c r="E33" s="76"/>
      <c r="F33" s="77"/>
      <c r="G33" s="78"/>
      <c r="H33" s="79"/>
      <c r="I33" s="79"/>
      <c r="J33" s="79"/>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E33" s="13"/>
      <c r="FF33" s="13"/>
      <c r="FG33" s="13"/>
      <c r="FH33" s="13"/>
      <c r="FI33" s="13"/>
      <c r="FJ33" s="13"/>
      <c r="FK33" s="13"/>
      <c r="FL33" s="13"/>
      <c r="FM33" s="13"/>
      <c r="FN33" s="13"/>
      <c r="FO33" s="13"/>
      <c r="FP33" s="13"/>
      <c r="FQ33" s="13"/>
      <c r="FR33" s="13"/>
      <c r="FS33" s="13"/>
      <c r="FT33" s="13"/>
      <c r="FU33" s="13"/>
      <c r="FV33" s="13"/>
      <c r="FW33" s="13"/>
      <c r="FX33" s="13"/>
      <c r="FY33" s="13"/>
      <c r="FZ33" s="13"/>
      <c r="GA33" s="13"/>
      <c r="GB33" s="13"/>
      <c r="GC33" s="13"/>
      <c r="GD33" s="13"/>
      <c r="GE33" s="13"/>
      <c r="GF33" s="13"/>
      <c r="GG33" s="13"/>
      <c r="GH33" s="13"/>
      <c r="GI33" s="13"/>
      <c r="GJ33" s="13"/>
      <c r="GK33" s="13"/>
      <c r="GL33" s="13"/>
      <c r="GM33" s="13"/>
      <c r="GN33" s="13"/>
      <c r="GO33" s="13"/>
      <c r="GP33" s="13"/>
      <c r="GQ33" s="13"/>
      <c r="GR33" s="13"/>
      <c r="GS33" s="13"/>
      <c r="GT33" s="13"/>
      <c r="GU33" s="13"/>
      <c r="GV33" s="13"/>
      <c r="GW33" s="13"/>
      <c r="GX33" s="13"/>
      <c r="GY33" s="13"/>
      <c r="GZ33" s="13"/>
      <c r="HA33" s="13"/>
      <c r="HB33" s="13"/>
      <c r="HC33" s="13"/>
      <c r="HD33" s="13"/>
      <c r="HE33" s="13"/>
      <c r="HF33" s="13"/>
      <c r="HG33" s="13"/>
      <c r="HH33" s="13"/>
      <c r="HI33" s="13"/>
      <c r="HJ33" s="13"/>
      <c r="HK33" s="13"/>
      <c r="HL33" s="13"/>
      <c r="HM33" s="13"/>
      <c r="HN33" s="13"/>
      <c r="HO33" s="13"/>
      <c r="HP33" s="13"/>
      <c r="HQ33" s="13"/>
      <c r="HR33" s="13"/>
      <c r="HS33" s="13"/>
      <c r="HT33" s="13"/>
      <c r="HU33" s="13"/>
      <c r="HV33" s="13"/>
      <c r="HW33" s="13"/>
      <c r="HX33" s="13"/>
      <c r="HY33" s="13"/>
      <c r="HZ33" s="13"/>
      <c r="IA33" s="13"/>
      <c r="IB33" s="13"/>
      <c r="IC33" s="13"/>
      <c r="ID33" s="13"/>
      <c r="IE33" s="13"/>
      <c r="IF33" s="13"/>
      <c r="IG33" s="13"/>
      <c r="IH33" s="13"/>
      <c r="II33" s="13"/>
      <c r="IJ33" s="13"/>
      <c r="IK33" s="13"/>
      <c r="IL33" s="13"/>
      <c r="IM33" s="13"/>
      <c r="IN33" s="13"/>
      <c r="IO33" s="13"/>
      <c r="IP33" s="13"/>
      <c r="IQ33" s="13"/>
      <c r="IR33" s="13"/>
      <c r="IS33" s="13"/>
      <c r="IT33" s="13"/>
      <c r="IU33" s="13"/>
      <c r="IV33" s="13"/>
    </row>
    <row r="34" ht="12.75" customHeight="1">
      <c r="A34" s="59">
        <f>IF(ISERROR(VALUE(SUBSTITUTE(OFFSET(A34,-1,0,1,1),".",""))),1,IF(ISERROR(FIND("`",SUBSTITUTE(OFFSET(A34,-1,0,1,1),".","`",1))),VALUE(OFFSET(A34,-1,0,1,1))+1,VALUE(LEFT(OFFSET(A34,-1,0,1,1),FIND("`",SUBSTITUTE(OFFSET(A34,-1,0,1,1),".","`",1))-1))+1))</f>
        <v>4</v>
      </c>
      <c r="B34" s="60" t="s">
        <v>45</v>
      </c>
      <c r="C34" s="61" t="s">
        <v>30</v>
      </c>
      <c r="D34" s="62">
        <f>MIN(D35:D38)</f>
        <v>45382</v>
      </c>
      <c r="E34" s="68">
        <f t="shared" ref="E34:E40" si="16">D34+F34-1</f>
        <v>45433</v>
      </c>
      <c r="F34" s="63">
        <f>MAX(E35:E38)-D34+1</f>
        <v>52</v>
      </c>
      <c r="G34" s="64">
        <f>SUMPRODUCT(F35:F38,G35:G38)/SUM(F35:F38)</f>
        <v>0</v>
      </c>
      <c r="H34" s="65">
        <f t="shared" ref="H34:H40" si="17">NETWORKDAYS(D34,E34)</f>
        <v>37</v>
      </c>
      <c r="I34" s="65">
        <f t="shared" ref="I34:I40" si="18">ROUNDDOWN(G34*F34,0)</f>
        <v>0</v>
      </c>
      <c r="J34" s="65">
        <f t="shared" ref="J34:J40" si="19">F34-I34</f>
        <v>52</v>
      </c>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6"/>
      <c r="CG34" s="66"/>
      <c r="CH34" s="66"/>
      <c r="CI34" s="66"/>
      <c r="CJ34" s="66"/>
      <c r="CK34" s="66"/>
      <c r="CL34" s="66"/>
      <c r="CM34" s="66"/>
      <c r="CN34" s="66"/>
      <c r="CO34" s="66"/>
      <c r="CP34" s="66"/>
      <c r="CQ34" s="66"/>
      <c r="CR34" s="66"/>
      <c r="CS34" s="66"/>
      <c r="CT34" s="66"/>
      <c r="CU34" s="66"/>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c r="DZ34" s="66"/>
      <c r="EA34" s="66"/>
      <c r="EB34" s="66"/>
      <c r="EC34" s="66"/>
      <c r="ED34" s="66"/>
      <c r="EE34" s="66"/>
      <c r="EF34" s="66"/>
      <c r="EG34" s="66"/>
      <c r="EH34" s="66"/>
      <c r="EI34" s="66"/>
      <c r="EJ34" s="66"/>
      <c r="EK34" s="66"/>
      <c r="EL34" s="66"/>
      <c r="EM34" s="66"/>
      <c r="EN34" s="66"/>
      <c r="EO34" s="66"/>
      <c r="EP34" s="66"/>
      <c r="EQ34" s="66"/>
      <c r="ER34" s="66"/>
      <c r="ES34" s="66"/>
      <c r="ET34" s="66"/>
      <c r="EU34" s="66"/>
      <c r="EV34" s="66"/>
      <c r="EW34" s="66"/>
      <c r="EX34" s="66"/>
      <c r="EY34" s="66"/>
      <c r="EZ34" s="66"/>
      <c r="FA34" s="66"/>
      <c r="FB34" s="66"/>
      <c r="FC34" s="66"/>
      <c r="FD34" s="66"/>
      <c r="FE34" s="66"/>
      <c r="FF34" s="66"/>
      <c r="FG34" s="66"/>
      <c r="FH34" s="66"/>
      <c r="FI34" s="66"/>
      <c r="FJ34" s="66"/>
      <c r="FK34" s="66"/>
      <c r="FL34" s="66"/>
      <c r="FM34" s="66"/>
      <c r="FN34" s="66"/>
      <c r="FO34" s="66"/>
      <c r="FP34" s="66"/>
      <c r="FQ34" s="66"/>
      <c r="FR34" s="66"/>
      <c r="FS34" s="66"/>
      <c r="FT34" s="66"/>
      <c r="FU34" s="66"/>
      <c r="FV34" s="66"/>
      <c r="FW34" s="66"/>
      <c r="FX34" s="66"/>
      <c r="FY34" s="66"/>
      <c r="FZ34" s="66"/>
      <c r="GA34" s="66"/>
      <c r="GB34" s="66"/>
      <c r="GC34" s="66"/>
      <c r="GD34" s="66"/>
      <c r="GE34" s="66"/>
      <c r="GF34" s="66"/>
      <c r="GG34" s="66"/>
      <c r="GH34" s="66"/>
      <c r="GI34" s="66"/>
      <c r="GJ34" s="66"/>
      <c r="GK34" s="66"/>
      <c r="GL34" s="66"/>
      <c r="GM34" s="66"/>
      <c r="GN34" s="66"/>
      <c r="GO34" s="66"/>
      <c r="GP34" s="66"/>
      <c r="GQ34" s="66"/>
      <c r="GR34" s="66"/>
      <c r="GS34" s="66"/>
      <c r="GT34" s="66"/>
      <c r="GU34" s="66"/>
      <c r="GV34" s="66"/>
      <c r="GW34" s="66"/>
      <c r="GX34" s="66"/>
      <c r="GY34" s="66"/>
      <c r="GZ34" s="66"/>
      <c r="HA34" s="66"/>
      <c r="HB34" s="66"/>
      <c r="HC34" s="66"/>
      <c r="HD34" s="66"/>
      <c r="HE34" s="66"/>
      <c r="HF34" s="66"/>
      <c r="HG34" s="66"/>
      <c r="HH34" s="66"/>
      <c r="HI34" s="66"/>
      <c r="HJ34" s="66"/>
      <c r="HK34" s="66"/>
      <c r="HL34" s="66"/>
      <c r="HM34" s="66"/>
      <c r="HN34" s="66"/>
      <c r="HO34" s="66"/>
      <c r="HP34" s="66"/>
      <c r="HQ34" s="66"/>
      <c r="HR34" s="66"/>
      <c r="HS34" s="66"/>
      <c r="HT34" s="66"/>
      <c r="HU34" s="66"/>
      <c r="HV34" s="66"/>
      <c r="HW34" s="66"/>
      <c r="HX34" s="66"/>
      <c r="HY34" s="66"/>
      <c r="HZ34" s="66"/>
      <c r="IA34" s="66"/>
      <c r="IB34" s="66"/>
      <c r="IC34" s="66"/>
      <c r="ID34" s="66"/>
      <c r="IE34" s="66"/>
      <c r="IF34" s="66"/>
      <c r="IG34" s="66"/>
      <c r="IH34" s="66"/>
      <c r="II34" s="66"/>
      <c r="IJ34" s="66"/>
      <c r="IK34" s="66"/>
      <c r="IL34" s="66"/>
      <c r="IM34" s="66"/>
      <c r="IN34" s="66"/>
      <c r="IO34" s="66"/>
      <c r="IP34" s="13"/>
      <c r="IQ34" s="13"/>
      <c r="IR34" s="13"/>
      <c r="IS34" s="13"/>
      <c r="IT34" s="13"/>
      <c r="IU34" s="13"/>
      <c r="IV34" s="13"/>
    </row>
    <row r="35" ht="12.75" customHeight="1">
      <c r="A35" s="44" t="str">
        <f t="shared" ref="A35:A38" si="20">IF(ISERROR(VALUE(SUBSTITUTE(OFFSET(A35,-1,0,1,1),".",""))),"0.1",IF(ISERROR(FIND("`",SUBSTITUTE(OFFSET(A35,-1,0,1,1),".","`",1))),OFFSET(A35,-1,0,1,1)&amp;".1",LEFT(OFFSET(A35,-1,0,1,1),FIND("`",SUBSTITUTE(OFFSET(A35,-1,0,1,1),".","`",1)))&amp;IF(ISERROR(FIND("`",SUBSTITUTE(OFFSET(A35,-1,0,1,1),".","`",2))),VALUE(RIGHT(OFFSET(A35,-1,0,1,1),LEN(OFFSET(A35,-1,0,1,1))-FIND("`",SUBSTITUTE(OFFSET(A35,-1,0,1,1),".","`",1))))+1,VALUE(MID(OFFSET(A35,-1,0,1,1),FIND("`",SUBSTITUTE(OFFSET(A35,-1,0,1,1),".","`",1))+1,(FIND("`",SUBSTITUTE(OFFSET(A35,-1,0,1,1),".","`",2))-FIND("`",SUBSTITUTE(OFFSET(A35,-1,0,1,1),".","`",1))-1)))+1)))</f>
        <v>4.1</v>
      </c>
      <c r="B35" s="45" t="s">
        <v>46</v>
      </c>
      <c r="C35" s="46"/>
      <c r="D35" s="80">
        <v>45382.0</v>
      </c>
      <c r="E35" s="81">
        <f t="shared" si="16"/>
        <v>45386</v>
      </c>
      <c r="F35" s="49">
        <v>5.0</v>
      </c>
      <c r="G35" s="58">
        <v>0.0</v>
      </c>
      <c r="H35" s="51">
        <f t="shared" si="17"/>
        <v>4</v>
      </c>
      <c r="I35" s="51">
        <f t="shared" si="18"/>
        <v>0</v>
      </c>
      <c r="J35" s="51">
        <f t="shared" si="19"/>
        <v>5</v>
      </c>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c r="EA35" s="52"/>
      <c r="EB35" s="52"/>
      <c r="EC35" s="52"/>
      <c r="ED35" s="52"/>
      <c r="EE35" s="52"/>
      <c r="EF35" s="52"/>
      <c r="EG35" s="52"/>
      <c r="EH35" s="52"/>
      <c r="EI35" s="52"/>
      <c r="EJ35" s="52"/>
      <c r="EK35" s="52"/>
      <c r="EL35" s="52"/>
      <c r="EM35" s="52"/>
      <c r="EN35" s="52"/>
      <c r="EO35" s="52"/>
      <c r="EP35" s="52"/>
      <c r="EQ35" s="52"/>
      <c r="ER35" s="52"/>
      <c r="ES35" s="52"/>
      <c r="ET35" s="52"/>
      <c r="EU35" s="52"/>
      <c r="EV35" s="52"/>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13"/>
      <c r="IQ35" s="13"/>
      <c r="IR35" s="13"/>
      <c r="IS35" s="13"/>
      <c r="IT35" s="13"/>
      <c r="IU35" s="13"/>
      <c r="IV35" s="13"/>
    </row>
    <row r="36" ht="12.75" customHeight="1">
      <c r="A36" s="44" t="str">
        <f t="shared" si="20"/>
        <v>4.2</v>
      </c>
      <c r="B36" s="45" t="s">
        <v>47</v>
      </c>
      <c r="C36" s="46"/>
      <c r="D36" s="80">
        <v>45397.0</v>
      </c>
      <c r="E36" s="81">
        <f t="shared" si="16"/>
        <v>45401</v>
      </c>
      <c r="F36" s="49">
        <v>5.0</v>
      </c>
      <c r="G36" s="58">
        <v>0.0</v>
      </c>
      <c r="H36" s="51">
        <f t="shared" si="17"/>
        <v>5</v>
      </c>
      <c r="I36" s="51">
        <f t="shared" si="18"/>
        <v>0</v>
      </c>
      <c r="J36" s="51">
        <f t="shared" si="19"/>
        <v>5</v>
      </c>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c r="EA36" s="52"/>
      <c r="EB36" s="52"/>
      <c r="EC36" s="52"/>
      <c r="ED36" s="52"/>
      <c r="EE36" s="52"/>
      <c r="EF36" s="52"/>
      <c r="EG36" s="52"/>
      <c r="EH36" s="52"/>
      <c r="EI36" s="52"/>
      <c r="EJ36" s="52"/>
      <c r="EK36" s="52"/>
      <c r="EL36" s="52"/>
      <c r="EM36" s="52"/>
      <c r="EN36" s="52"/>
      <c r="EO36" s="52"/>
      <c r="EP36" s="52"/>
      <c r="EQ36" s="52"/>
      <c r="ER36" s="52"/>
      <c r="ES36" s="52"/>
      <c r="ET36" s="52"/>
      <c r="EU36" s="52"/>
      <c r="EV36" s="52"/>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13"/>
      <c r="IQ36" s="13"/>
      <c r="IR36" s="13"/>
      <c r="IS36" s="13"/>
      <c r="IT36" s="13"/>
      <c r="IU36" s="13"/>
      <c r="IV36" s="13"/>
    </row>
    <row r="37" ht="12.75" customHeight="1">
      <c r="A37" s="44" t="str">
        <f t="shared" si="20"/>
        <v>4.3</v>
      </c>
      <c r="B37" s="45" t="s">
        <v>48</v>
      </c>
      <c r="C37" s="46"/>
      <c r="D37" s="80">
        <v>45412.0</v>
      </c>
      <c r="E37" s="81">
        <f t="shared" si="16"/>
        <v>45416</v>
      </c>
      <c r="F37" s="49">
        <v>5.0</v>
      </c>
      <c r="G37" s="58">
        <v>0.0</v>
      </c>
      <c r="H37" s="51">
        <f t="shared" si="17"/>
        <v>4</v>
      </c>
      <c r="I37" s="51">
        <f t="shared" si="18"/>
        <v>0</v>
      </c>
      <c r="J37" s="51">
        <f t="shared" si="19"/>
        <v>5</v>
      </c>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13"/>
      <c r="IQ37" s="13"/>
      <c r="IR37" s="13"/>
      <c r="IS37" s="13"/>
      <c r="IT37" s="13"/>
      <c r="IU37" s="13"/>
      <c r="IV37" s="13"/>
    </row>
    <row r="38" ht="12.75" customHeight="1">
      <c r="A38" s="44" t="str">
        <f t="shared" si="20"/>
        <v>4.4</v>
      </c>
      <c r="B38" s="45" t="s">
        <v>49</v>
      </c>
      <c r="C38" s="46"/>
      <c r="D38" s="80">
        <v>45429.0</v>
      </c>
      <c r="E38" s="81">
        <f t="shared" si="16"/>
        <v>45433</v>
      </c>
      <c r="F38" s="49">
        <v>5.0</v>
      </c>
      <c r="G38" s="58">
        <v>0.0</v>
      </c>
      <c r="H38" s="51">
        <f t="shared" si="17"/>
        <v>3</v>
      </c>
      <c r="I38" s="51">
        <f t="shared" si="18"/>
        <v>0</v>
      </c>
      <c r="J38" s="51">
        <f t="shared" si="19"/>
        <v>5</v>
      </c>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13"/>
      <c r="IQ38" s="13"/>
      <c r="IR38" s="13"/>
      <c r="IS38" s="13"/>
      <c r="IT38" s="13"/>
      <c r="IU38" s="13"/>
      <c r="IV38" s="13"/>
    </row>
    <row r="39" ht="12.75" customHeight="1">
      <c r="A39" s="59">
        <f>IF(ISERROR(VALUE(SUBSTITUTE(OFFSET(A39,-1,0,1,1),".",""))),1,IF(ISERROR(FIND("`",SUBSTITUTE(OFFSET(A39,-1,0,1,1),".","`",1))),VALUE(OFFSET(A39,-1,0,1,1))+1,VALUE(LEFT(OFFSET(A39,-1,0,1,1),FIND("`",SUBSTITUTE(OFFSET(A39,-1,0,1,1),".","`",1))-1))+1))</f>
        <v>5</v>
      </c>
      <c r="B39" s="60" t="s">
        <v>50</v>
      </c>
      <c r="C39" s="61" t="s">
        <v>30</v>
      </c>
      <c r="D39" s="62">
        <f>MIN(D40:D47)</f>
        <v>45349</v>
      </c>
      <c r="E39" s="68">
        <f t="shared" si="16"/>
        <v>45354</v>
      </c>
      <c r="F39" s="63">
        <f>MAX(E40:E47)-D39+1</f>
        <v>6</v>
      </c>
      <c r="G39" s="64">
        <f>SUMPRODUCT(F40:F47,G40:G47)/SUM(F40:F47)</f>
        <v>0.5</v>
      </c>
      <c r="H39" s="65">
        <f t="shared" si="17"/>
        <v>4</v>
      </c>
      <c r="I39" s="65">
        <f t="shared" si="18"/>
        <v>3</v>
      </c>
      <c r="J39" s="65">
        <f t="shared" si="19"/>
        <v>3</v>
      </c>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6"/>
      <c r="BZ39" s="66"/>
      <c r="CA39" s="66"/>
      <c r="CB39" s="66"/>
      <c r="CC39" s="66"/>
      <c r="CD39" s="66"/>
      <c r="CE39" s="66"/>
      <c r="CF39" s="66"/>
      <c r="CG39" s="66"/>
      <c r="CH39" s="66"/>
      <c r="CI39" s="66"/>
      <c r="CJ39" s="66"/>
      <c r="CK39" s="66"/>
      <c r="CL39" s="66"/>
      <c r="CM39" s="66"/>
      <c r="CN39" s="66"/>
      <c r="CO39" s="66"/>
      <c r="CP39" s="66"/>
      <c r="CQ39" s="66"/>
      <c r="CR39" s="66"/>
      <c r="CS39" s="66"/>
      <c r="CT39" s="66"/>
      <c r="CU39" s="66"/>
      <c r="CV39" s="66"/>
      <c r="CW39" s="66"/>
      <c r="CX39" s="66"/>
      <c r="CY39" s="66"/>
      <c r="CZ39" s="66"/>
      <c r="DA39" s="66"/>
      <c r="DB39" s="66"/>
      <c r="DC39" s="66"/>
      <c r="DD39" s="66"/>
      <c r="DE39" s="66"/>
      <c r="DF39" s="66"/>
      <c r="DG39" s="66"/>
      <c r="DH39" s="66"/>
      <c r="DI39" s="66"/>
      <c r="DJ39" s="66"/>
      <c r="DK39" s="66"/>
      <c r="DL39" s="66"/>
      <c r="DM39" s="66"/>
      <c r="DN39" s="66"/>
      <c r="DO39" s="66"/>
      <c r="DP39" s="66"/>
      <c r="DQ39" s="66"/>
      <c r="DR39" s="66"/>
      <c r="DS39" s="66"/>
      <c r="DT39" s="66"/>
      <c r="DU39" s="66"/>
      <c r="DV39" s="66"/>
      <c r="DW39" s="66"/>
      <c r="DX39" s="66"/>
      <c r="DY39" s="66"/>
      <c r="DZ39" s="66"/>
      <c r="EA39" s="66"/>
      <c r="EB39" s="66"/>
      <c r="EC39" s="66"/>
      <c r="ED39" s="66"/>
      <c r="EE39" s="66"/>
      <c r="EF39" s="66"/>
      <c r="EG39" s="66"/>
      <c r="EH39" s="66"/>
      <c r="EI39" s="66"/>
      <c r="EJ39" s="66"/>
      <c r="EK39" s="66"/>
      <c r="EL39" s="66"/>
      <c r="EM39" s="66"/>
      <c r="EN39" s="66"/>
      <c r="EO39" s="66"/>
      <c r="EP39" s="66"/>
      <c r="EQ39" s="66"/>
      <c r="ER39" s="66"/>
      <c r="ES39" s="66"/>
      <c r="ET39" s="66"/>
      <c r="EU39" s="66"/>
      <c r="EV39" s="66"/>
      <c r="EW39" s="66"/>
      <c r="EX39" s="66"/>
      <c r="EY39" s="66"/>
      <c r="EZ39" s="66"/>
      <c r="FA39" s="66"/>
      <c r="FB39" s="66"/>
      <c r="FC39" s="66"/>
      <c r="FD39" s="66"/>
      <c r="FE39" s="66"/>
      <c r="FF39" s="66"/>
      <c r="FG39" s="66"/>
      <c r="FH39" s="66"/>
      <c r="FI39" s="66"/>
      <c r="FJ39" s="66"/>
      <c r="FK39" s="66"/>
      <c r="FL39" s="66"/>
      <c r="FM39" s="66"/>
      <c r="FN39" s="66"/>
      <c r="FO39" s="66"/>
      <c r="FP39" s="66"/>
      <c r="FQ39" s="66"/>
      <c r="FR39" s="66"/>
      <c r="FS39" s="66"/>
      <c r="FT39" s="66"/>
      <c r="FU39" s="66"/>
      <c r="FV39" s="66"/>
      <c r="FW39" s="66"/>
      <c r="FX39" s="66"/>
      <c r="FY39" s="66"/>
      <c r="FZ39" s="66"/>
      <c r="GA39" s="66"/>
      <c r="GB39" s="66"/>
      <c r="GC39" s="66"/>
      <c r="GD39" s="66"/>
      <c r="GE39" s="66"/>
      <c r="GF39" s="66"/>
      <c r="GG39" s="66"/>
      <c r="GH39" s="66"/>
      <c r="GI39" s="66"/>
      <c r="GJ39" s="66"/>
      <c r="GK39" s="66"/>
      <c r="GL39" s="66"/>
      <c r="GM39" s="66"/>
      <c r="GN39" s="66"/>
      <c r="GO39" s="66"/>
      <c r="GP39" s="66"/>
      <c r="GQ39" s="66"/>
      <c r="GR39" s="66"/>
      <c r="GS39" s="66"/>
      <c r="GT39" s="66"/>
      <c r="GU39" s="66"/>
      <c r="GV39" s="66"/>
      <c r="GW39" s="66"/>
      <c r="GX39" s="66"/>
      <c r="GY39" s="66"/>
      <c r="GZ39" s="66"/>
      <c r="HA39" s="66"/>
      <c r="HB39" s="66"/>
      <c r="HC39" s="66"/>
      <c r="HD39" s="66"/>
      <c r="HE39" s="66"/>
      <c r="HF39" s="66"/>
      <c r="HG39" s="66"/>
      <c r="HH39" s="66"/>
      <c r="HI39" s="66"/>
      <c r="HJ39" s="66"/>
      <c r="HK39" s="66"/>
      <c r="HL39" s="66"/>
      <c r="HM39" s="66"/>
      <c r="HN39" s="66"/>
      <c r="HO39" s="66"/>
      <c r="HP39" s="66"/>
      <c r="HQ39" s="66"/>
      <c r="HR39" s="66"/>
      <c r="HS39" s="66"/>
      <c r="HT39" s="66"/>
      <c r="HU39" s="66"/>
      <c r="HV39" s="66"/>
      <c r="HW39" s="66"/>
      <c r="HX39" s="66"/>
      <c r="HY39" s="66"/>
      <c r="HZ39" s="66"/>
      <c r="IA39" s="66"/>
      <c r="IB39" s="66"/>
      <c r="IC39" s="66"/>
      <c r="ID39" s="66"/>
      <c r="IE39" s="66"/>
      <c r="IF39" s="66"/>
      <c r="IG39" s="66"/>
      <c r="IH39" s="66"/>
      <c r="II39" s="66"/>
      <c r="IJ39" s="66"/>
      <c r="IK39" s="66"/>
      <c r="IL39" s="66"/>
      <c r="IM39" s="66"/>
      <c r="IN39" s="66"/>
      <c r="IO39" s="66"/>
      <c r="IP39" s="13"/>
      <c r="IQ39" s="13"/>
      <c r="IR39" s="13"/>
      <c r="IS39" s="13"/>
      <c r="IT39" s="13"/>
      <c r="IU39" s="13"/>
      <c r="IV39" s="13"/>
    </row>
    <row r="40" ht="12.75" customHeight="1">
      <c r="A40" s="44" t="str">
        <f>IF(ISERROR(VALUE(SUBSTITUTE(OFFSET(A40,-1,0,1,1),".",""))),"0.1",IF(ISERROR(FIND("`",SUBSTITUTE(OFFSET(A40,-1,0,1,1),".","`",1))),OFFSET(A40,-1,0,1,1)&amp;".1",LEFT(OFFSET(A40,-1,0,1,1),FIND("`",SUBSTITUTE(OFFSET(A40,-1,0,1,1),".","`",1)))&amp;IF(ISERROR(FIND("`",SUBSTITUTE(OFFSET(A40,-1,0,1,1),".","`",2))),VALUE(RIGHT(OFFSET(A40,-1,0,1,1),LEN(OFFSET(A40,-1,0,1,1))-FIND("`",SUBSTITUTE(OFFSET(A40,-1,0,1,1),".","`",1))))+1,VALUE(MID(OFFSET(A40,-1,0,1,1),FIND("`",SUBSTITUTE(OFFSET(A40,-1,0,1,1),".","`",1))+1,(FIND("`",SUBSTITUTE(OFFSET(A40,-1,0,1,1),".","`",2))-FIND("`",SUBSTITUTE(OFFSET(A40,-1,0,1,1),".","`",1))-1)))+1)))</f>
        <v>5.1</v>
      </c>
      <c r="B40" s="45" t="s">
        <v>51</v>
      </c>
      <c r="C40" s="46"/>
      <c r="D40" s="80">
        <v>45349.0</v>
      </c>
      <c r="E40" s="81">
        <f t="shared" si="16"/>
        <v>45354</v>
      </c>
      <c r="F40" s="49">
        <v>6.0</v>
      </c>
      <c r="G40" s="58">
        <v>0.5</v>
      </c>
      <c r="H40" s="51">
        <f t="shared" si="17"/>
        <v>4</v>
      </c>
      <c r="I40" s="51">
        <f t="shared" si="18"/>
        <v>3</v>
      </c>
      <c r="J40" s="51">
        <f t="shared" si="19"/>
        <v>3</v>
      </c>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c r="EA40" s="52"/>
      <c r="EB40" s="52"/>
      <c r="EC40" s="52"/>
      <c r="ED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13"/>
      <c r="IQ40" s="13"/>
      <c r="IR40" s="13"/>
      <c r="IS40" s="13"/>
      <c r="IT40" s="13"/>
      <c r="IU40" s="13"/>
      <c r="IV40" s="13"/>
    </row>
    <row r="41" ht="12.75" customHeight="1">
      <c r="A41" s="72">
        <v>5.2</v>
      </c>
      <c r="B41" s="73" t="s">
        <v>52</v>
      </c>
      <c r="C41" s="74"/>
      <c r="D41" s="75"/>
      <c r="E41" s="76"/>
      <c r="F41" s="77"/>
      <c r="G41" s="78"/>
      <c r="H41" s="79"/>
      <c r="I41" s="79"/>
      <c r="J41" s="79"/>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ht="12.75" customHeight="1">
      <c r="A42" s="72">
        <v>5.3</v>
      </c>
      <c r="B42" s="73" t="s">
        <v>53</v>
      </c>
      <c r="C42" s="74"/>
      <c r="D42" s="75"/>
      <c r="E42" s="76"/>
      <c r="F42" s="77"/>
      <c r="G42" s="78"/>
      <c r="H42" s="79"/>
      <c r="I42" s="79"/>
      <c r="J42" s="79"/>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ht="12.75" customHeight="1">
      <c r="A43" s="72">
        <v>5.4</v>
      </c>
      <c r="B43" s="73" t="s">
        <v>54</v>
      </c>
      <c r="C43" s="74"/>
      <c r="D43" s="75"/>
      <c r="E43" s="76"/>
      <c r="F43" s="77"/>
      <c r="G43" s="78"/>
      <c r="H43" s="79"/>
      <c r="I43" s="79"/>
      <c r="J43" s="79"/>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ht="12.75" customHeight="1">
      <c r="A44" s="72">
        <v>5.5</v>
      </c>
      <c r="B44" s="73" t="s">
        <v>55</v>
      </c>
      <c r="C44" s="74"/>
      <c r="D44" s="75"/>
      <c r="E44" s="76"/>
      <c r="F44" s="77"/>
      <c r="G44" s="78"/>
      <c r="H44" s="79"/>
      <c r="I44" s="79"/>
      <c r="J44" s="79"/>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13"/>
      <c r="GR44" s="13"/>
      <c r="GS44" s="13"/>
      <c r="GT44" s="13"/>
      <c r="GU44" s="13"/>
      <c r="GV44" s="13"/>
      <c r="GW44" s="13"/>
      <c r="GX44" s="13"/>
      <c r="GY44" s="13"/>
      <c r="GZ44" s="13"/>
      <c r="HA44" s="13"/>
      <c r="HB44" s="13"/>
      <c r="HC44" s="13"/>
      <c r="HD44" s="13"/>
      <c r="HE44" s="13"/>
      <c r="HF44" s="13"/>
      <c r="HG44" s="13"/>
      <c r="HH44" s="13"/>
      <c r="HI44" s="13"/>
      <c r="HJ44" s="13"/>
      <c r="HK44" s="13"/>
      <c r="HL44" s="13"/>
      <c r="HM44" s="13"/>
      <c r="HN44" s="13"/>
      <c r="HO44" s="13"/>
      <c r="HP44" s="13"/>
      <c r="HQ44" s="13"/>
      <c r="HR44" s="13"/>
      <c r="HS44" s="13"/>
      <c r="HT44" s="13"/>
      <c r="HU44" s="13"/>
      <c r="HV44" s="13"/>
      <c r="HW44" s="13"/>
      <c r="HX44" s="13"/>
      <c r="HY44" s="13"/>
      <c r="HZ44" s="13"/>
      <c r="IA44" s="13"/>
      <c r="IB44" s="13"/>
      <c r="IC44" s="13"/>
      <c r="ID44" s="13"/>
      <c r="IE44" s="13"/>
      <c r="IF44" s="13"/>
      <c r="IG44" s="13"/>
      <c r="IH44" s="13"/>
      <c r="II44" s="13"/>
      <c r="IJ44" s="13"/>
      <c r="IK44" s="13"/>
      <c r="IL44" s="13"/>
      <c r="IM44" s="13"/>
      <c r="IN44" s="13"/>
      <c r="IO44" s="13"/>
      <c r="IP44" s="13"/>
      <c r="IQ44" s="13"/>
      <c r="IR44" s="13"/>
      <c r="IS44" s="13"/>
      <c r="IT44" s="13"/>
      <c r="IU44" s="13"/>
      <c r="IV44" s="13"/>
    </row>
    <row r="45" ht="10.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row>
    <row r="46" ht="11.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ht="11.25" customHeight="1">
      <c r="A47" s="82" t="s">
        <v>56</v>
      </c>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3"/>
      <c r="EL47" s="13"/>
      <c r="EM47" s="13"/>
      <c r="EN47" s="13"/>
      <c r="EO47" s="13"/>
      <c r="EP47" s="13"/>
      <c r="EQ47" s="13"/>
      <c r="ER47" s="13"/>
      <c r="ES47" s="13"/>
      <c r="ET47" s="13"/>
      <c r="EU47" s="13"/>
      <c r="EV47" s="13"/>
      <c r="EW47" s="13"/>
      <c r="EX47" s="13"/>
      <c r="EY47" s="13"/>
      <c r="EZ47" s="13"/>
      <c r="FA47" s="13"/>
      <c r="FB47" s="13"/>
      <c r="FC47" s="13"/>
      <c r="FD47" s="13"/>
      <c r="FE47" s="13"/>
      <c r="FF47" s="13"/>
      <c r="FG47" s="13"/>
      <c r="FH47" s="13"/>
      <c r="FI47" s="13"/>
      <c r="FJ47" s="13"/>
      <c r="FK47" s="13"/>
      <c r="FL47" s="13"/>
      <c r="FM47" s="13"/>
      <c r="FN47" s="13"/>
      <c r="FO47" s="13"/>
      <c r="FP47" s="13"/>
      <c r="FQ47" s="13"/>
      <c r="FR47" s="13"/>
      <c r="FS47" s="13"/>
      <c r="FT47" s="13"/>
      <c r="FU47" s="13"/>
      <c r="FV47" s="13"/>
      <c r="FW47" s="13"/>
      <c r="FX47" s="13"/>
      <c r="FY47" s="13"/>
      <c r="FZ47" s="13"/>
      <c r="GA47" s="13"/>
      <c r="GB47" s="13"/>
      <c r="GC47" s="13"/>
      <c r="GD47" s="13"/>
      <c r="GE47" s="13"/>
      <c r="GF47" s="13"/>
      <c r="GG47" s="13"/>
      <c r="GH47" s="13"/>
      <c r="GI47" s="13"/>
      <c r="GJ47" s="13"/>
      <c r="GK47" s="13"/>
      <c r="GL47" s="13"/>
      <c r="GM47" s="13"/>
      <c r="GN47" s="13"/>
      <c r="GO47" s="13"/>
      <c r="GP47" s="13"/>
      <c r="GQ47" s="13"/>
      <c r="GR47" s="13"/>
      <c r="GS47" s="13"/>
      <c r="GT47" s="13"/>
      <c r="GU47" s="13"/>
      <c r="GV47" s="13"/>
      <c r="GW47" s="13"/>
      <c r="GX47" s="13"/>
      <c r="GY47" s="13"/>
      <c r="GZ47" s="13"/>
      <c r="HA47" s="13"/>
      <c r="HB47" s="13"/>
      <c r="HC47" s="13"/>
      <c r="HD47" s="13"/>
      <c r="HE47" s="13"/>
      <c r="HF47" s="13"/>
      <c r="HG47" s="13"/>
      <c r="HH47" s="13"/>
      <c r="HI47" s="13"/>
      <c r="HJ47" s="13"/>
      <c r="HK47" s="13"/>
      <c r="HL47" s="13"/>
      <c r="HM47" s="13"/>
      <c r="HN47" s="13"/>
      <c r="HO47" s="13"/>
      <c r="HP47" s="13"/>
      <c r="HQ47" s="13"/>
      <c r="HR47" s="13"/>
      <c r="HS47" s="13"/>
      <c r="HT47" s="13"/>
      <c r="HU47" s="13"/>
      <c r="HV47" s="13"/>
      <c r="HW47" s="13"/>
      <c r="HX47" s="13"/>
      <c r="HY47" s="13"/>
      <c r="HZ47" s="13"/>
      <c r="IA47" s="13"/>
      <c r="IB47" s="13"/>
      <c r="IC47" s="13"/>
      <c r="ID47" s="13"/>
      <c r="IE47" s="13"/>
      <c r="IF47" s="13"/>
      <c r="IG47" s="13"/>
      <c r="IH47" s="13"/>
      <c r="II47" s="13"/>
      <c r="IJ47" s="13"/>
      <c r="IK47" s="13"/>
      <c r="IL47" s="13"/>
      <c r="IM47" s="13"/>
      <c r="IN47" s="13"/>
      <c r="IO47" s="13"/>
      <c r="IP47" s="13"/>
      <c r="IQ47" s="13"/>
      <c r="IR47" s="13"/>
      <c r="IS47" s="13"/>
      <c r="IT47" s="13"/>
      <c r="IU47" s="13"/>
      <c r="IV47" s="13"/>
    </row>
    <row r="48" ht="12.75" customHeight="1">
      <c r="A48" s="59">
        <f>IF(ISERROR(VALUE(SUBSTITUTE(OFFSET(A48,-1,0,1,1),".",""))),1,IF(ISERROR(FIND("`",SUBSTITUTE(OFFSET(A48,-1,0,1,1),".","`",1))),VALUE(OFFSET(A48,-1,0,1,1))+1,VALUE(LEFT(OFFSET(A48,-1,0,1,1),FIND("`",SUBSTITUTE(OFFSET(A48,-1,0,1,1),".","`",1))-1))+1))</f>
        <v>1</v>
      </c>
      <c r="B48" s="83" t="s">
        <v>57</v>
      </c>
      <c r="C48" s="84"/>
      <c r="D48" s="85">
        <v>39818.0</v>
      </c>
      <c r="E48" s="86">
        <f t="shared" ref="E48:E51" si="21">D48+F48-1</f>
        <v>39818</v>
      </c>
      <c r="F48" s="63">
        <f>MAX(E49:E51)-D48+1</f>
        <v>1</v>
      </c>
      <c r="G48" s="64">
        <f>SUMPRODUCT(F49:F51,G49:G51)/SUM(F49:F51)</f>
        <v>0</v>
      </c>
      <c r="H48" s="65">
        <f t="shared" ref="H48:H51" si="22">NETWORKDAYS(D48,E48)</f>
        <v>1</v>
      </c>
      <c r="I48" s="65">
        <f t="shared" ref="I48:I51" si="23">ROUNDDOWN(G48*F48,0)</f>
        <v>0</v>
      </c>
      <c r="J48" s="65">
        <f t="shared" ref="J48:J51" si="24">F48-I48</f>
        <v>1</v>
      </c>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6"/>
      <c r="DV48" s="66"/>
      <c r="DW48" s="66"/>
      <c r="DX48" s="66"/>
      <c r="DY48" s="66"/>
      <c r="DZ48" s="66"/>
      <c r="EA48" s="66"/>
      <c r="EB48" s="66"/>
      <c r="EC48" s="66"/>
      <c r="ED48" s="66"/>
      <c r="EE48" s="66"/>
      <c r="EF48" s="66"/>
      <c r="EG48" s="66"/>
      <c r="EH48" s="66"/>
      <c r="EI48" s="66"/>
      <c r="EJ48" s="66"/>
      <c r="EK48" s="66"/>
      <c r="EL48" s="66"/>
      <c r="EM48" s="66"/>
      <c r="EN48" s="66"/>
      <c r="EO48" s="66"/>
      <c r="EP48" s="66"/>
      <c r="EQ48" s="66"/>
      <c r="ER48" s="66"/>
      <c r="ES48" s="66"/>
      <c r="ET48" s="66"/>
      <c r="EU48" s="66"/>
      <c r="EV48" s="66"/>
      <c r="EW48" s="66"/>
      <c r="EX48" s="66"/>
      <c r="EY48" s="66"/>
      <c r="EZ48" s="66"/>
      <c r="FA48" s="66"/>
      <c r="FB48" s="66"/>
      <c r="FC48" s="66"/>
      <c r="FD48" s="66"/>
      <c r="FE48" s="66"/>
      <c r="FF48" s="66"/>
      <c r="FG48" s="66"/>
      <c r="FH48" s="66"/>
      <c r="FI48" s="66"/>
      <c r="FJ48" s="66"/>
      <c r="FK48" s="66"/>
      <c r="FL48" s="66"/>
      <c r="FM48" s="66"/>
      <c r="FN48" s="66"/>
      <c r="FO48" s="66"/>
      <c r="FP48" s="66"/>
      <c r="FQ48" s="66"/>
      <c r="FR48" s="66"/>
      <c r="FS48" s="66"/>
      <c r="FT48" s="66"/>
      <c r="FU48" s="66"/>
      <c r="FV48" s="66"/>
      <c r="FW48" s="66"/>
      <c r="FX48" s="66"/>
      <c r="FY48" s="66"/>
      <c r="FZ48" s="66"/>
      <c r="GA48" s="66"/>
      <c r="GB48" s="66"/>
      <c r="GC48" s="66"/>
      <c r="GD48" s="66"/>
      <c r="GE48" s="66"/>
      <c r="GF48" s="66"/>
      <c r="GG48" s="66"/>
      <c r="GH48" s="66"/>
      <c r="GI48" s="66"/>
      <c r="GJ48" s="66"/>
      <c r="GK48" s="66"/>
      <c r="GL48" s="66"/>
      <c r="GM48" s="66"/>
      <c r="GN48" s="66"/>
      <c r="GO48" s="66"/>
      <c r="GP48" s="66"/>
      <c r="GQ48" s="66"/>
      <c r="GR48" s="66"/>
      <c r="GS48" s="66"/>
      <c r="GT48" s="66"/>
      <c r="GU48" s="66"/>
      <c r="GV48" s="66"/>
      <c r="GW48" s="66"/>
      <c r="GX48" s="66"/>
      <c r="GY48" s="66"/>
      <c r="GZ48" s="66"/>
      <c r="HA48" s="66"/>
      <c r="HB48" s="66"/>
      <c r="HC48" s="66"/>
      <c r="HD48" s="66"/>
      <c r="HE48" s="66"/>
      <c r="HF48" s="66"/>
      <c r="HG48" s="66"/>
      <c r="HH48" s="66"/>
      <c r="HI48" s="66"/>
      <c r="HJ48" s="66"/>
      <c r="HK48" s="66"/>
      <c r="HL48" s="66"/>
      <c r="HM48" s="66"/>
      <c r="HN48" s="66"/>
      <c r="HO48" s="66"/>
      <c r="HP48" s="66"/>
      <c r="HQ48" s="66"/>
      <c r="HR48" s="66"/>
      <c r="HS48" s="66"/>
      <c r="HT48" s="66"/>
      <c r="HU48" s="66"/>
      <c r="HV48" s="66"/>
      <c r="HW48" s="66"/>
      <c r="HX48" s="66"/>
      <c r="HY48" s="66"/>
      <c r="HZ48" s="66"/>
      <c r="IA48" s="66"/>
      <c r="IB48" s="66"/>
      <c r="IC48" s="66"/>
      <c r="ID48" s="66"/>
      <c r="IE48" s="66"/>
      <c r="IF48" s="66"/>
      <c r="IG48" s="66"/>
      <c r="IH48" s="66"/>
      <c r="II48" s="66"/>
      <c r="IJ48" s="66"/>
      <c r="IK48" s="66"/>
      <c r="IL48" s="66"/>
      <c r="IM48" s="66"/>
      <c r="IN48" s="66"/>
      <c r="IO48" s="66"/>
      <c r="IP48" s="13"/>
      <c r="IQ48" s="13"/>
      <c r="IR48" s="13"/>
      <c r="IS48" s="13"/>
      <c r="IT48" s="13"/>
      <c r="IU48" s="13"/>
      <c r="IV48" s="13"/>
    </row>
    <row r="49" ht="12.75" customHeight="1">
      <c r="A49" s="44" t="str">
        <f>IF(ISERROR(VALUE(SUBSTITUTE(OFFSET(A49,-1,0,1,1),".",""))),"0.1",IF(ISERROR(FIND("`",SUBSTITUTE(OFFSET(A49,-1,0,1,1),".","`",1))),OFFSET(A49,-1,0,1,1)&amp;".1",LEFT(OFFSET(A49,-1,0,1,1),FIND("`",SUBSTITUTE(OFFSET(A49,-1,0,1,1),".","`",1)))&amp;IF(ISERROR(FIND("`",SUBSTITUTE(OFFSET(A49,-1,0,1,1),".","`",2))),VALUE(RIGHT(OFFSET(A49,-1,0,1,1),LEN(OFFSET(A49,-1,0,1,1))-FIND("`",SUBSTITUTE(OFFSET(A49,-1,0,1,1),".","`",1))))+1,VALUE(MID(OFFSET(A49,-1,0,1,1),FIND("`",SUBSTITUTE(OFFSET(A49,-1,0,1,1),".","`",1))+1,(FIND("`",SUBSTITUTE(OFFSET(A49,-1,0,1,1),".","`",2))-FIND("`",SUBSTITUTE(OFFSET(A49,-1,0,1,1),".","`",1))-1)))+1)))</f>
        <v>1.1</v>
      </c>
      <c r="B49" s="87" t="s">
        <v>58</v>
      </c>
      <c r="C49" s="46"/>
      <c r="D49" s="80">
        <v>39818.0</v>
      </c>
      <c r="E49" s="81">
        <f t="shared" si="21"/>
        <v>39818</v>
      </c>
      <c r="F49" s="49">
        <v>1.0</v>
      </c>
      <c r="G49" s="58">
        <v>0.0</v>
      </c>
      <c r="H49" s="51">
        <f t="shared" si="22"/>
        <v>1</v>
      </c>
      <c r="I49" s="51">
        <f t="shared" si="23"/>
        <v>0</v>
      </c>
      <c r="J49" s="51">
        <f t="shared" si="24"/>
        <v>1</v>
      </c>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c r="EA49" s="52"/>
      <c r="EB49" s="52"/>
      <c r="EC49" s="52"/>
      <c r="ED49" s="52"/>
      <c r="EE49" s="52"/>
      <c r="EF49" s="52"/>
      <c r="EG49" s="52"/>
      <c r="EH49" s="52"/>
      <c r="EI49" s="52"/>
      <c r="EJ49" s="52"/>
      <c r="EK49" s="52"/>
      <c r="EL49" s="52"/>
      <c r="EM49" s="52"/>
      <c r="EN49" s="52"/>
      <c r="EO49" s="52"/>
      <c r="EP49" s="52"/>
      <c r="EQ49" s="52"/>
      <c r="ER49" s="52"/>
      <c r="ES49" s="52"/>
      <c r="ET49" s="52"/>
      <c r="EU49" s="52"/>
      <c r="EV49" s="52"/>
      <c r="EW49" s="52"/>
      <c r="EX49" s="52"/>
      <c r="EY49" s="52"/>
      <c r="EZ49" s="52"/>
      <c r="FA49" s="52"/>
      <c r="FB49" s="52"/>
      <c r="FC49" s="52"/>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13"/>
      <c r="IQ49" s="13"/>
      <c r="IR49" s="13"/>
      <c r="IS49" s="13"/>
      <c r="IT49" s="13"/>
      <c r="IU49" s="13"/>
      <c r="IV49" s="13"/>
    </row>
    <row r="50" ht="12.75" customHeight="1">
      <c r="A50" s="44" t="str">
        <f>IF(ISERROR(VALUE(SUBSTITUTE(OFFSET(A50,-1,0,1,1),".",""))),"0.0.1",IF(ISERROR(FIND("`",SUBSTITUTE(OFFSET(A50,-1,0,1,1),".","`",2))),OFFSET(A50,-1,0,1,1)&amp;".1",LEFT(OFFSET(A50,-1,0,1,1),FIND("`",SUBSTITUTE(OFFSET(A50,-1,0,1,1),".","`",2)))&amp;IF(ISERROR(FIND("`",SUBSTITUTE(OFFSET(A50,-1,0,1,1),".","`",3))),VALUE(RIGHT(OFFSET(A50,-1,0,1,1),LEN(OFFSET(A50,-1,0,1,1))-FIND("`",SUBSTITUTE(OFFSET(A50,-1,0,1,1),".","`",2))))+1,VALUE(MID(OFFSET(A50,-1,0,1,1),FIND("`",SUBSTITUTE(OFFSET(A50,-1,0,1,1),".","`",2))+1,(FIND("`",SUBSTITUTE(OFFSET(A50,-1,0,1,1),".","`",3))-FIND("`",SUBSTITUTE(OFFSET(A50,-1,0,1,1),".","`",2))-1)))+1)))</f>
        <v>1.1.1</v>
      </c>
      <c r="B50" s="88" t="s">
        <v>59</v>
      </c>
      <c r="C50" s="46"/>
      <c r="D50" s="80">
        <v>39818.0</v>
      </c>
      <c r="E50" s="81">
        <f t="shared" si="21"/>
        <v>39818</v>
      </c>
      <c r="F50" s="49">
        <v>1.0</v>
      </c>
      <c r="G50" s="58">
        <v>0.0</v>
      </c>
      <c r="H50" s="51">
        <f t="shared" si="22"/>
        <v>1</v>
      </c>
      <c r="I50" s="51">
        <f t="shared" si="23"/>
        <v>0</v>
      </c>
      <c r="J50" s="51">
        <f t="shared" si="24"/>
        <v>1</v>
      </c>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c r="EA50" s="52"/>
      <c r="EB50" s="52"/>
      <c r="EC50" s="52"/>
      <c r="ED50" s="52"/>
      <c r="EE50" s="52"/>
      <c r="EF50" s="52"/>
      <c r="EG50" s="52"/>
      <c r="EH50" s="52"/>
      <c r="EI50" s="52"/>
      <c r="EJ50" s="52"/>
      <c r="EK50" s="52"/>
      <c r="EL50" s="52"/>
      <c r="EM50" s="52"/>
      <c r="EN50" s="52"/>
      <c r="EO50" s="52"/>
      <c r="EP50" s="52"/>
      <c r="EQ50" s="52"/>
      <c r="ER50" s="52"/>
      <c r="ES50" s="52"/>
      <c r="ET50" s="52"/>
      <c r="EU50" s="52"/>
      <c r="EV50" s="52"/>
      <c r="EW50" s="52"/>
      <c r="EX50" s="52"/>
      <c r="EY50" s="52"/>
      <c r="EZ50" s="52"/>
      <c r="FA50" s="52"/>
      <c r="FB50" s="52"/>
      <c r="FC50" s="52"/>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13"/>
      <c r="IQ50" s="13"/>
      <c r="IR50" s="13"/>
      <c r="IS50" s="13"/>
      <c r="IT50" s="13"/>
      <c r="IU50" s="13"/>
      <c r="IV50" s="13"/>
    </row>
    <row r="51" ht="12.75" customHeight="1">
      <c r="A51" s="44" t="str">
        <f>IF(ISERROR(VALUE(SUBSTITUTE(OFFSET(A51,-1,0,1,1),".",""))),"0.0.0.1",IF(ISERROR(FIND("`",SUBSTITUTE(OFFSET(A51,-1,0,1,1),".","`",3))),OFFSET(A51,-1,0,1,1)&amp;".1",LEFT(OFFSET(A51,-1,0,1,1),FIND("`",SUBSTITUTE(OFFSET(A51,-1,0,1,1),".","`",3)))&amp;IF(ISERROR(FIND("`",SUBSTITUTE(OFFSET(A51,-1,0,1,1),".","`",4))),VALUE(RIGHT(OFFSET(A51,-1,0,1,1),LEN(OFFSET(A51,-1,0,1,1))-FIND("`",SUBSTITUTE(OFFSET(A51,-1,0,1,1),".","`",3))))+1,VALUE(MID(OFFSET(A51,-1,0,1,1),FIND("`",SUBSTITUTE(OFFSET(A51,-1,0,1,1),".","`",3))+1,(FIND("`",SUBSTITUTE(OFFSET(A51,-1,0,1,1),".","`",4))-FIND("`",SUBSTITUTE(OFFSET(A51,-1,0,1,1),".","`",3))-1)))+1)))</f>
        <v>1.1.1.1</v>
      </c>
      <c r="B51" s="88" t="s">
        <v>60</v>
      </c>
      <c r="C51" s="46"/>
      <c r="D51" s="80">
        <v>39818.0</v>
      </c>
      <c r="E51" s="81">
        <f t="shared" si="21"/>
        <v>39818</v>
      </c>
      <c r="F51" s="49">
        <v>1.0</v>
      </c>
      <c r="G51" s="58">
        <v>0.0</v>
      </c>
      <c r="H51" s="51">
        <f t="shared" si="22"/>
        <v>1</v>
      </c>
      <c r="I51" s="51">
        <f t="shared" si="23"/>
        <v>0</v>
      </c>
      <c r="J51" s="51">
        <f t="shared" si="24"/>
        <v>1</v>
      </c>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c r="EA51" s="52"/>
      <c r="EB51" s="52"/>
      <c r="EC51" s="52"/>
      <c r="ED51" s="52"/>
      <c r="EE51" s="52"/>
      <c r="EF51" s="52"/>
      <c r="EG51" s="52"/>
      <c r="EH51" s="52"/>
      <c r="EI51" s="52"/>
      <c r="EJ51" s="52"/>
      <c r="EK51" s="52"/>
      <c r="EL51" s="52"/>
      <c r="EM51" s="52"/>
      <c r="EN51" s="52"/>
      <c r="EO51" s="52"/>
      <c r="EP51" s="52"/>
      <c r="EQ51" s="52"/>
      <c r="ER51" s="52"/>
      <c r="ES51" s="52"/>
      <c r="ET51" s="52"/>
      <c r="EU51" s="52"/>
      <c r="EV51" s="52"/>
      <c r="EW51" s="52"/>
      <c r="EX51" s="52"/>
      <c r="EY51" s="52"/>
      <c r="EZ51" s="52"/>
      <c r="FA51" s="52"/>
      <c r="FB51" s="52"/>
      <c r="FC51" s="52"/>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13"/>
      <c r="IQ51" s="13"/>
      <c r="IR51" s="13"/>
      <c r="IS51" s="13"/>
      <c r="IT51" s="13"/>
      <c r="IU51" s="13"/>
      <c r="IV51" s="13"/>
    </row>
    <row r="52" ht="11.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3"/>
      <c r="EL52" s="13"/>
      <c r="EM52" s="13"/>
      <c r="EN52" s="13"/>
      <c r="EO52" s="13"/>
      <c r="EP52" s="13"/>
      <c r="EQ52" s="13"/>
      <c r="ER52" s="13"/>
      <c r="ES52" s="13"/>
      <c r="ET52" s="13"/>
      <c r="EU52" s="13"/>
      <c r="EV52" s="13"/>
      <c r="EW52" s="13"/>
      <c r="EX52" s="13"/>
      <c r="EY52" s="13"/>
      <c r="EZ52" s="13"/>
      <c r="FA52" s="13"/>
      <c r="FB52" s="13"/>
      <c r="FC52" s="13"/>
      <c r="FD52" s="13"/>
      <c r="FE52" s="13"/>
      <c r="FF52" s="13"/>
      <c r="FG52" s="13"/>
      <c r="FH52" s="13"/>
      <c r="FI52" s="13"/>
      <c r="FJ52" s="13"/>
      <c r="FK52" s="13"/>
      <c r="FL52" s="13"/>
      <c r="FM52" s="13"/>
      <c r="FN52" s="13"/>
      <c r="FO52" s="13"/>
      <c r="FP52" s="13"/>
      <c r="FQ52" s="13"/>
      <c r="FR52" s="13"/>
      <c r="FS52" s="13"/>
      <c r="FT52" s="13"/>
      <c r="FU52" s="13"/>
      <c r="FV52" s="13"/>
      <c r="FW52" s="13"/>
      <c r="FX52" s="13"/>
      <c r="FY52" s="13"/>
      <c r="FZ52" s="13"/>
      <c r="GA52" s="13"/>
      <c r="GB52" s="13"/>
      <c r="GC52" s="13"/>
      <c r="GD52" s="13"/>
      <c r="GE52" s="13"/>
      <c r="GF52" s="13"/>
      <c r="GG52" s="13"/>
      <c r="GH52" s="13"/>
      <c r="GI52" s="13"/>
      <c r="GJ52" s="13"/>
      <c r="GK52" s="13"/>
      <c r="GL52" s="13"/>
      <c r="GM52" s="13"/>
      <c r="GN52" s="13"/>
      <c r="GO52" s="13"/>
      <c r="GP52" s="13"/>
      <c r="GQ52" s="13"/>
      <c r="GR52" s="13"/>
      <c r="GS52" s="13"/>
      <c r="GT52" s="13"/>
      <c r="GU52" s="13"/>
      <c r="GV52" s="13"/>
      <c r="GW52" s="13"/>
      <c r="GX52" s="13"/>
      <c r="GY52" s="13"/>
      <c r="GZ52" s="13"/>
      <c r="HA52" s="13"/>
      <c r="HB52" s="13"/>
      <c r="HC52" s="13"/>
      <c r="HD52" s="13"/>
      <c r="HE52" s="13"/>
      <c r="HF52" s="13"/>
      <c r="HG52" s="13"/>
      <c r="HH52" s="13"/>
      <c r="HI52" s="13"/>
      <c r="HJ52" s="13"/>
      <c r="HK52" s="13"/>
      <c r="HL52" s="13"/>
      <c r="HM52" s="13"/>
      <c r="HN52" s="13"/>
      <c r="HO52" s="13"/>
      <c r="HP52" s="13"/>
      <c r="HQ52" s="13"/>
      <c r="HR52" s="13"/>
      <c r="HS52" s="13"/>
      <c r="HT52" s="13"/>
      <c r="HU52" s="13"/>
      <c r="HV52" s="13"/>
      <c r="HW52" s="13"/>
      <c r="HX52" s="13"/>
      <c r="HY52" s="13"/>
      <c r="HZ52" s="13"/>
      <c r="IA52" s="13"/>
      <c r="IB52" s="13"/>
      <c r="IC52" s="13"/>
      <c r="ID52" s="13"/>
      <c r="IE52" s="13"/>
      <c r="IF52" s="13"/>
      <c r="IG52" s="13"/>
      <c r="IH52" s="13"/>
      <c r="II52" s="13"/>
      <c r="IJ52" s="13"/>
      <c r="IK52" s="13"/>
      <c r="IL52" s="13"/>
      <c r="IM52" s="13"/>
      <c r="IN52" s="13"/>
      <c r="IO52" s="13"/>
      <c r="IP52" s="13"/>
      <c r="IQ52" s="13"/>
      <c r="IR52" s="13"/>
      <c r="IS52" s="13"/>
      <c r="IT52" s="13"/>
      <c r="IU52" s="13"/>
      <c r="IV52" s="13"/>
    </row>
    <row r="53" ht="12.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row>
    <row r="54"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row>
    <row r="55" ht="12.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row>
    <row r="56" ht="12.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row>
    <row r="57" ht="12.75" customHeight="1">
      <c r="A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row>
    <row r="58" ht="12.75" customHeight="1">
      <c r="A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row>
    <row r="59" ht="12.75" customHeight="1">
      <c r="A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row>
    <row r="60" ht="12.75" customHeight="1">
      <c r="A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row>
    <row r="61" ht="12.75" customHeight="1">
      <c r="A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row>
    <row r="62" ht="12.75" customHeight="1">
      <c r="A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row>
    <row r="63" ht="12.75" customHeight="1">
      <c r="A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row>
    <row r="64" ht="12.75" customHeight="1">
      <c r="A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row>
    <row r="65" ht="12.75" customHeight="1">
      <c r="A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row>
    <row r="66" ht="12.75" customHeight="1">
      <c r="A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row>
    <row r="67" ht="12.75" customHeight="1">
      <c r="A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row>
    <row r="68" ht="12.75" customHeight="1">
      <c r="A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row>
    <row r="69" ht="12.75" customHeight="1">
      <c r="A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row>
    <row r="70" ht="12.75" customHeight="1">
      <c r="A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row>
    <row r="71" ht="12.75" customHeight="1">
      <c r="A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row>
    <row r="72" ht="12.75" customHeight="1">
      <c r="A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row>
    <row r="73" ht="12.75" customHeight="1">
      <c r="A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row>
    <row r="74" ht="12.75" customHeight="1">
      <c r="A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row>
    <row r="75" ht="12.75" customHeight="1">
      <c r="A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row>
    <row r="76" ht="12.75" customHeight="1">
      <c r="A76" s="8"/>
      <c r="HT76" s="8"/>
      <c r="HU76" s="8"/>
      <c r="HV76" s="8"/>
      <c r="HW76" s="8"/>
      <c r="HX76" s="8"/>
      <c r="HY76" s="8"/>
      <c r="HZ76" s="8"/>
      <c r="IA76" s="8"/>
      <c r="IB76" s="8"/>
      <c r="IC76" s="8"/>
      <c r="ID76" s="8"/>
      <c r="IE76" s="8"/>
      <c r="IF76" s="8"/>
      <c r="IG76" s="8"/>
      <c r="IH76" s="8"/>
      <c r="II76" s="8"/>
      <c r="IJ76" s="8"/>
      <c r="IK76" s="8"/>
      <c r="IL76" s="8"/>
      <c r="IM76" s="8"/>
      <c r="IN76" s="8"/>
      <c r="IO76" s="8"/>
      <c r="IP76" s="8"/>
      <c r="IQ76" s="8"/>
      <c r="IR76" s="8"/>
      <c r="IS76" s="8"/>
      <c r="IT76" s="8"/>
      <c r="IU76" s="8"/>
      <c r="IV76" s="8"/>
    </row>
    <row r="77" ht="12.75" customHeight="1">
      <c r="A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row>
    <row r="78" ht="12.75" customHeight="1">
      <c r="A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row>
    <row r="79" ht="12.75" customHeight="1">
      <c r="A79" s="8"/>
      <c r="HT79" s="8"/>
      <c r="HU79" s="8"/>
      <c r="HV79" s="8"/>
      <c r="HW79" s="8"/>
      <c r="HX79" s="8"/>
      <c r="HY79" s="8"/>
      <c r="HZ79" s="8"/>
      <c r="IA79" s="8"/>
      <c r="IB79" s="8"/>
      <c r="IC79" s="8"/>
      <c r="ID79" s="8"/>
      <c r="IE79" s="8"/>
      <c r="IF79" s="8"/>
      <c r="IG79" s="8"/>
      <c r="IH79" s="8"/>
      <c r="II79" s="8"/>
      <c r="IJ79" s="8"/>
      <c r="IK79" s="8"/>
      <c r="IL79" s="8"/>
      <c r="IM79" s="8"/>
      <c r="IN79" s="8"/>
      <c r="IO79" s="8"/>
      <c r="IP79" s="8"/>
      <c r="IQ79" s="8"/>
      <c r="IR79" s="8"/>
      <c r="IS79" s="8"/>
      <c r="IT79" s="8"/>
      <c r="IU79" s="8"/>
      <c r="IV79" s="8"/>
    </row>
    <row r="80" ht="12.75" customHeight="1">
      <c r="A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row>
    <row r="81" ht="12.75" customHeight="1">
      <c r="A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row>
    <row r="82" ht="12.75" customHeight="1">
      <c r="A82" s="8"/>
      <c r="HT82" s="8"/>
      <c r="HU82" s="8"/>
      <c r="HV82" s="8"/>
      <c r="HW82" s="8"/>
      <c r="HX82" s="8"/>
      <c r="HY82" s="8"/>
      <c r="HZ82" s="8"/>
      <c r="IA82" s="8"/>
      <c r="IB82" s="8"/>
      <c r="IC82" s="8"/>
      <c r="ID82" s="8"/>
      <c r="IE82" s="8"/>
      <c r="IF82" s="8"/>
      <c r="IG82" s="8"/>
      <c r="IH82" s="8"/>
      <c r="II82" s="8"/>
      <c r="IJ82" s="8"/>
      <c r="IK82" s="8"/>
      <c r="IL82" s="8"/>
      <c r="IM82" s="8"/>
      <c r="IN82" s="8"/>
      <c r="IO82" s="8"/>
      <c r="IP82" s="8"/>
      <c r="IQ82" s="8"/>
      <c r="IR82" s="8"/>
      <c r="IS82" s="8"/>
      <c r="IT82" s="8"/>
      <c r="IU82" s="8"/>
      <c r="IV82" s="8"/>
    </row>
    <row r="83" ht="12.75" customHeight="1">
      <c r="A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row>
    <row r="84" ht="12.75" customHeight="1">
      <c r="A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row>
    <row r="85" ht="12.75" customHeight="1">
      <c r="A85" s="8"/>
      <c r="HT85" s="8"/>
      <c r="HU85" s="8"/>
      <c r="HV85" s="8"/>
      <c r="HW85" s="8"/>
      <c r="HX85" s="8"/>
      <c r="HY85" s="8"/>
      <c r="HZ85" s="8"/>
      <c r="IA85" s="8"/>
      <c r="IB85" s="8"/>
      <c r="IC85" s="8"/>
      <c r="ID85" s="8"/>
      <c r="IE85" s="8"/>
      <c r="IF85" s="8"/>
      <c r="IG85" s="8"/>
      <c r="IH85" s="8"/>
      <c r="II85" s="8"/>
      <c r="IJ85" s="8"/>
      <c r="IK85" s="8"/>
      <c r="IL85" s="8"/>
      <c r="IM85" s="8"/>
      <c r="IN85" s="8"/>
      <c r="IO85" s="8"/>
      <c r="IP85" s="8"/>
      <c r="IQ85" s="8"/>
      <c r="IR85" s="8"/>
      <c r="IS85" s="8"/>
      <c r="IT85" s="8"/>
      <c r="IU85" s="8"/>
      <c r="IV85" s="8"/>
    </row>
    <row r="86" ht="12.75" customHeight="1">
      <c r="A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row>
    <row r="87" ht="12.75" customHeight="1">
      <c r="A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row>
    <row r="88" ht="12.75" customHeight="1">
      <c r="A88" s="8"/>
      <c r="HT88" s="8"/>
      <c r="HU88" s="8"/>
      <c r="HV88" s="8"/>
      <c r="HW88" s="8"/>
      <c r="HX88" s="8"/>
      <c r="HY88" s="8"/>
      <c r="HZ88" s="8"/>
      <c r="IA88" s="8"/>
      <c r="IB88" s="8"/>
      <c r="IC88" s="8"/>
      <c r="ID88" s="8"/>
      <c r="IE88" s="8"/>
      <c r="IF88" s="8"/>
      <c r="IG88" s="8"/>
      <c r="IH88" s="8"/>
      <c r="II88" s="8"/>
      <c r="IJ88" s="8"/>
      <c r="IK88" s="8"/>
      <c r="IL88" s="8"/>
      <c r="IM88" s="8"/>
      <c r="IN88" s="8"/>
      <c r="IO88" s="8"/>
      <c r="IP88" s="8"/>
      <c r="IQ88" s="8"/>
      <c r="IR88" s="8"/>
      <c r="IS88" s="8"/>
      <c r="IT88" s="8"/>
      <c r="IU88" s="8"/>
      <c r="IV88" s="8"/>
    </row>
    <row r="89" ht="12.75" customHeight="1">
      <c r="A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row>
    <row r="90" ht="12.75" customHeight="1">
      <c r="A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row>
    <row r="91" ht="12.75" customHeight="1">
      <c r="A91" s="8"/>
      <c r="HT91" s="8"/>
      <c r="HU91" s="8"/>
      <c r="HV91" s="8"/>
      <c r="HW91" s="8"/>
      <c r="HX91" s="8"/>
      <c r="HY91" s="8"/>
      <c r="HZ91" s="8"/>
      <c r="IA91" s="8"/>
      <c r="IB91" s="8"/>
      <c r="IC91" s="8"/>
      <c r="ID91" s="8"/>
      <c r="IE91" s="8"/>
      <c r="IF91" s="8"/>
      <c r="IG91" s="8"/>
      <c r="IH91" s="8"/>
      <c r="II91" s="8"/>
      <c r="IJ91" s="8"/>
      <c r="IK91" s="8"/>
      <c r="IL91" s="8"/>
      <c r="IM91" s="8"/>
      <c r="IN91" s="8"/>
      <c r="IO91" s="8"/>
      <c r="IP91" s="8"/>
      <c r="IQ91" s="8"/>
      <c r="IR91" s="8"/>
      <c r="IS91" s="8"/>
      <c r="IT91" s="8"/>
      <c r="IU91" s="8"/>
      <c r="IV91" s="8"/>
    </row>
    <row r="92" ht="12.75" customHeight="1">
      <c r="A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row>
    <row r="93" ht="12.75" customHeight="1">
      <c r="A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row>
    <row r="94" ht="12.75" customHeight="1">
      <c r="A94" s="8"/>
      <c r="HT94" s="8"/>
      <c r="HU94" s="8"/>
      <c r="HV94" s="8"/>
      <c r="HW94" s="8"/>
      <c r="HX94" s="8"/>
      <c r="HY94" s="8"/>
      <c r="HZ94" s="8"/>
      <c r="IA94" s="8"/>
      <c r="IB94" s="8"/>
      <c r="IC94" s="8"/>
      <c r="ID94" s="8"/>
      <c r="IE94" s="8"/>
      <c r="IF94" s="8"/>
      <c r="IG94" s="8"/>
      <c r="IH94" s="8"/>
      <c r="II94" s="8"/>
      <c r="IJ94" s="8"/>
      <c r="IK94" s="8"/>
      <c r="IL94" s="8"/>
      <c r="IM94" s="8"/>
      <c r="IN94" s="8"/>
      <c r="IO94" s="8"/>
      <c r="IP94" s="8"/>
      <c r="IQ94" s="8"/>
      <c r="IR94" s="8"/>
      <c r="IS94" s="8"/>
      <c r="IT94" s="8"/>
      <c r="IU94" s="8"/>
      <c r="IV94" s="8"/>
    </row>
    <row r="95" ht="12.75" customHeight="1">
      <c r="A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row>
    <row r="96" ht="12.75" customHeight="1">
      <c r="A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row>
    <row r="97" ht="12.75" customHeight="1">
      <c r="A97" s="8"/>
      <c r="HT97" s="8"/>
      <c r="HU97" s="8"/>
      <c r="HV97" s="8"/>
      <c r="HW97" s="8"/>
      <c r="HX97" s="8"/>
      <c r="HY97" s="8"/>
      <c r="HZ97" s="8"/>
      <c r="IA97" s="8"/>
      <c r="IB97" s="8"/>
      <c r="IC97" s="8"/>
      <c r="ID97" s="8"/>
      <c r="IE97" s="8"/>
      <c r="IF97" s="8"/>
      <c r="IG97" s="8"/>
      <c r="IH97" s="8"/>
      <c r="II97" s="8"/>
      <c r="IJ97" s="8"/>
      <c r="IK97" s="8"/>
      <c r="IL97" s="8"/>
      <c r="IM97" s="8"/>
      <c r="IN97" s="8"/>
      <c r="IO97" s="8"/>
      <c r="IP97" s="8"/>
      <c r="IQ97" s="8"/>
      <c r="IR97" s="8"/>
      <c r="IS97" s="8"/>
      <c r="IT97" s="8"/>
      <c r="IU97" s="8"/>
      <c r="IV97" s="8"/>
    </row>
    <row r="98" ht="12.75" customHeight="1">
      <c r="A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row>
    <row r="99" ht="12.75" customHeight="1">
      <c r="A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row>
    <row r="100" ht="12.75" customHeight="1">
      <c r="A100" s="8"/>
      <c r="HT100" s="8"/>
      <c r="HU100" s="8"/>
      <c r="HV100" s="8"/>
      <c r="HW100" s="8"/>
      <c r="HX100" s="8"/>
      <c r="HY100" s="8"/>
      <c r="HZ100" s="8"/>
      <c r="IA100" s="8"/>
      <c r="IB100" s="8"/>
      <c r="IC100" s="8"/>
      <c r="ID100" s="8"/>
      <c r="IE100" s="8"/>
      <c r="IF100" s="8"/>
      <c r="IG100" s="8"/>
      <c r="IH100" s="8"/>
      <c r="II100" s="8"/>
      <c r="IJ100" s="8"/>
      <c r="IK100" s="8"/>
      <c r="IL100" s="8"/>
      <c r="IM100" s="8"/>
      <c r="IN100" s="8"/>
      <c r="IO100" s="8"/>
      <c r="IP100" s="8"/>
      <c r="IQ100" s="8"/>
      <c r="IR100" s="8"/>
      <c r="IS100" s="8"/>
      <c r="IT100" s="8"/>
      <c r="IU100" s="8"/>
      <c r="IV100" s="8"/>
    </row>
    <row r="101" ht="12.75" customHeight="1">
      <c r="A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row>
    <row r="102" ht="12.75" customHeight="1">
      <c r="A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row>
    <row r="103" ht="12.75" customHeight="1">
      <c r="A103" s="8"/>
      <c r="HT103" s="8"/>
      <c r="HU103" s="8"/>
      <c r="HV103" s="8"/>
      <c r="HW103" s="8"/>
      <c r="HX103" s="8"/>
      <c r="HY103" s="8"/>
      <c r="HZ103" s="8"/>
      <c r="IA103" s="8"/>
      <c r="IB103" s="8"/>
      <c r="IC103" s="8"/>
      <c r="ID103" s="8"/>
      <c r="IE103" s="8"/>
      <c r="IF103" s="8"/>
      <c r="IG103" s="8"/>
      <c r="IH103" s="8"/>
      <c r="II103" s="8"/>
      <c r="IJ103" s="8"/>
      <c r="IK103" s="8"/>
      <c r="IL103" s="8"/>
      <c r="IM103" s="8"/>
      <c r="IN103" s="8"/>
      <c r="IO103" s="8"/>
      <c r="IP103" s="8"/>
      <c r="IQ103" s="8"/>
      <c r="IR103" s="8"/>
      <c r="IS103" s="8"/>
      <c r="IT103" s="8"/>
      <c r="IU103" s="8"/>
      <c r="IV103" s="8"/>
    </row>
    <row r="104" ht="12.75" customHeight="1">
      <c r="A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row>
    <row r="105" ht="12.75" customHeight="1">
      <c r="A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row>
    <row r="106" ht="12.75" customHeight="1">
      <c r="A106" s="8"/>
      <c r="HT106" s="8"/>
      <c r="HU106" s="8"/>
      <c r="HV106" s="8"/>
      <c r="HW106" s="8"/>
      <c r="HX106" s="8"/>
      <c r="HY106" s="8"/>
      <c r="HZ106" s="8"/>
      <c r="IA106" s="8"/>
      <c r="IB106" s="8"/>
      <c r="IC106" s="8"/>
      <c r="ID106" s="8"/>
      <c r="IE106" s="8"/>
      <c r="IF106" s="8"/>
      <c r="IG106" s="8"/>
      <c r="IH106" s="8"/>
      <c r="II106" s="8"/>
      <c r="IJ106" s="8"/>
      <c r="IK106" s="8"/>
      <c r="IL106" s="8"/>
      <c r="IM106" s="8"/>
      <c r="IN106" s="8"/>
      <c r="IO106" s="8"/>
      <c r="IP106" s="8"/>
      <c r="IQ106" s="8"/>
      <c r="IR106" s="8"/>
      <c r="IS106" s="8"/>
      <c r="IT106" s="8"/>
      <c r="IU106" s="8"/>
      <c r="IV106" s="8"/>
    </row>
    <row r="107" ht="12.75" customHeight="1">
      <c r="A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row>
    <row r="108" ht="12.75" customHeight="1">
      <c r="A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row>
    <row r="109" ht="12.75" customHeight="1">
      <c r="A109" s="8"/>
      <c r="HT109" s="8"/>
      <c r="HU109" s="8"/>
      <c r="HV109" s="8"/>
      <c r="HW109" s="8"/>
      <c r="HX109" s="8"/>
      <c r="HY109" s="8"/>
      <c r="HZ109" s="8"/>
      <c r="IA109" s="8"/>
      <c r="IB109" s="8"/>
      <c r="IC109" s="8"/>
      <c r="ID109" s="8"/>
      <c r="IE109" s="8"/>
      <c r="IF109" s="8"/>
      <c r="IG109" s="8"/>
      <c r="IH109" s="8"/>
      <c r="II109" s="8"/>
      <c r="IJ109" s="8"/>
      <c r="IK109" s="8"/>
      <c r="IL109" s="8"/>
      <c r="IM109" s="8"/>
      <c r="IN109" s="8"/>
      <c r="IO109" s="8"/>
      <c r="IP109" s="8"/>
      <c r="IQ109" s="8"/>
      <c r="IR109" s="8"/>
      <c r="IS109" s="8"/>
      <c r="IT109" s="8"/>
      <c r="IU109" s="8"/>
      <c r="IV109" s="8"/>
    </row>
    <row r="110" ht="12.75" customHeight="1">
      <c r="A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row>
    <row r="111" ht="12.75" customHeight="1">
      <c r="A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row>
    <row r="112" ht="12.75" customHeight="1">
      <c r="A112" s="8"/>
      <c r="HT112" s="8"/>
      <c r="HU112" s="8"/>
      <c r="HV112" s="8"/>
      <c r="HW112" s="8"/>
      <c r="HX112" s="8"/>
      <c r="HY112" s="8"/>
      <c r="HZ112" s="8"/>
      <c r="IA112" s="8"/>
      <c r="IB112" s="8"/>
      <c r="IC112" s="8"/>
      <c r="ID112" s="8"/>
      <c r="IE112" s="8"/>
      <c r="IF112" s="8"/>
      <c r="IG112" s="8"/>
      <c r="IH112" s="8"/>
      <c r="II112" s="8"/>
      <c r="IJ112" s="8"/>
      <c r="IK112" s="8"/>
      <c r="IL112" s="8"/>
      <c r="IM112" s="8"/>
      <c r="IN112" s="8"/>
      <c r="IO112" s="8"/>
      <c r="IP112" s="8"/>
      <c r="IQ112" s="8"/>
      <c r="IR112" s="8"/>
      <c r="IS112" s="8"/>
      <c r="IT112" s="8"/>
      <c r="IU112" s="8"/>
      <c r="IV112" s="8"/>
    </row>
    <row r="113" ht="12.75" customHeight="1">
      <c r="A113" s="8"/>
      <c r="HT113" s="8"/>
      <c r="HU113" s="8"/>
      <c r="HV113" s="8"/>
      <c r="HW113" s="8"/>
      <c r="HX113" s="8"/>
      <c r="HY113" s="8"/>
      <c r="HZ113" s="8"/>
      <c r="IA113" s="8"/>
      <c r="IB113" s="8"/>
      <c r="IC113" s="8"/>
      <c r="ID113" s="8"/>
      <c r="IE113" s="8"/>
      <c r="IF113" s="8"/>
      <c r="IG113" s="8"/>
      <c r="IH113" s="8"/>
      <c r="II113" s="8"/>
      <c r="IJ113" s="8"/>
      <c r="IK113" s="8"/>
      <c r="IL113" s="8"/>
      <c r="IM113" s="8"/>
      <c r="IN113" s="8"/>
      <c r="IO113" s="8"/>
      <c r="IP113" s="8"/>
      <c r="IQ113" s="8"/>
      <c r="IR113" s="8"/>
      <c r="IS113" s="8"/>
      <c r="IT113" s="8"/>
      <c r="IU113" s="8"/>
      <c r="IV113" s="8"/>
    </row>
    <row r="114" ht="12.75" customHeight="1">
      <c r="A114" s="8"/>
      <c r="HT114" s="8"/>
      <c r="HU114" s="8"/>
      <c r="HV114" s="8"/>
      <c r="HW114" s="8"/>
      <c r="HX114" s="8"/>
      <c r="HY114" s="8"/>
      <c r="HZ114" s="8"/>
      <c r="IA114" s="8"/>
      <c r="IB114" s="8"/>
      <c r="IC114" s="8"/>
      <c r="ID114" s="8"/>
      <c r="IE114" s="8"/>
      <c r="IF114" s="8"/>
      <c r="IG114" s="8"/>
      <c r="IH114" s="8"/>
      <c r="II114" s="8"/>
      <c r="IJ114" s="8"/>
      <c r="IK114" s="8"/>
      <c r="IL114" s="8"/>
      <c r="IM114" s="8"/>
      <c r="IN114" s="8"/>
      <c r="IO114" s="8"/>
      <c r="IP114" s="8"/>
      <c r="IQ114" s="8"/>
      <c r="IR114" s="8"/>
      <c r="IS114" s="8"/>
      <c r="IT114" s="8"/>
      <c r="IU114" s="8"/>
      <c r="IV114" s="8"/>
    </row>
    <row r="115" ht="12.75" customHeight="1">
      <c r="A115" s="8"/>
      <c r="HT115" s="8"/>
      <c r="HU115" s="8"/>
      <c r="HV115" s="8"/>
      <c r="HW115" s="8"/>
      <c r="HX115" s="8"/>
      <c r="HY115" s="8"/>
      <c r="HZ115" s="8"/>
      <c r="IA115" s="8"/>
      <c r="IB115" s="8"/>
      <c r="IC115" s="8"/>
      <c r="ID115" s="8"/>
      <c r="IE115" s="8"/>
      <c r="IF115" s="8"/>
      <c r="IG115" s="8"/>
      <c r="IH115" s="8"/>
      <c r="II115" s="8"/>
      <c r="IJ115" s="8"/>
      <c r="IK115" s="8"/>
      <c r="IL115" s="8"/>
      <c r="IM115" s="8"/>
      <c r="IN115" s="8"/>
      <c r="IO115" s="8"/>
      <c r="IP115" s="8"/>
      <c r="IQ115" s="8"/>
      <c r="IR115" s="8"/>
      <c r="IS115" s="8"/>
      <c r="IT115" s="8"/>
      <c r="IU115" s="8"/>
      <c r="IV115" s="8"/>
    </row>
    <row r="116" ht="12.75" customHeight="1">
      <c r="A116" s="8"/>
      <c r="HT116" s="8"/>
      <c r="HU116" s="8"/>
      <c r="HV116" s="8"/>
      <c r="HW116" s="8"/>
      <c r="HX116" s="8"/>
      <c r="HY116" s="8"/>
      <c r="HZ116" s="8"/>
      <c r="IA116" s="8"/>
      <c r="IB116" s="8"/>
      <c r="IC116" s="8"/>
      <c r="ID116" s="8"/>
      <c r="IE116" s="8"/>
      <c r="IF116" s="8"/>
      <c r="IG116" s="8"/>
      <c r="IH116" s="8"/>
      <c r="II116" s="8"/>
      <c r="IJ116" s="8"/>
      <c r="IK116" s="8"/>
      <c r="IL116" s="8"/>
      <c r="IM116" s="8"/>
      <c r="IN116" s="8"/>
      <c r="IO116" s="8"/>
      <c r="IP116" s="8"/>
      <c r="IQ116" s="8"/>
      <c r="IR116" s="8"/>
      <c r="IS116" s="8"/>
      <c r="IT116" s="8"/>
      <c r="IU116" s="8"/>
      <c r="IV116" s="8"/>
    </row>
    <row r="117" ht="12.75" customHeight="1">
      <c r="A117" s="8"/>
      <c r="HT117" s="8"/>
      <c r="HU117" s="8"/>
      <c r="HV117" s="8"/>
      <c r="HW117" s="8"/>
      <c r="HX117" s="8"/>
      <c r="HY117" s="8"/>
      <c r="HZ117" s="8"/>
      <c r="IA117" s="8"/>
      <c r="IB117" s="8"/>
      <c r="IC117" s="8"/>
      <c r="ID117" s="8"/>
      <c r="IE117" s="8"/>
      <c r="IF117" s="8"/>
      <c r="IG117" s="8"/>
      <c r="IH117" s="8"/>
      <c r="II117" s="8"/>
      <c r="IJ117" s="8"/>
      <c r="IK117" s="8"/>
      <c r="IL117" s="8"/>
      <c r="IM117" s="8"/>
      <c r="IN117" s="8"/>
      <c r="IO117" s="8"/>
      <c r="IP117" s="8"/>
      <c r="IQ117" s="8"/>
      <c r="IR117" s="8"/>
      <c r="IS117" s="8"/>
      <c r="IT117" s="8"/>
      <c r="IU117" s="8"/>
      <c r="IV117" s="8"/>
    </row>
    <row r="118" ht="12.75" customHeight="1">
      <c r="A118" s="8"/>
      <c r="HT118" s="8"/>
      <c r="HU118" s="8"/>
      <c r="HV118" s="8"/>
      <c r="HW118" s="8"/>
      <c r="HX118" s="8"/>
      <c r="HY118" s="8"/>
      <c r="HZ118" s="8"/>
      <c r="IA118" s="8"/>
      <c r="IB118" s="8"/>
      <c r="IC118" s="8"/>
      <c r="ID118" s="8"/>
      <c r="IE118" s="8"/>
      <c r="IF118" s="8"/>
      <c r="IG118" s="8"/>
      <c r="IH118" s="8"/>
      <c r="II118" s="8"/>
      <c r="IJ118" s="8"/>
      <c r="IK118" s="8"/>
      <c r="IL118" s="8"/>
      <c r="IM118" s="8"/>
      <c r="IN118" s="8"/>
      <c r="IO118" s="8"/>
      <c r="IP118" s="8"/>
      <c r="IQ118" s="8"/>
      <c r="IR118" s="8"/>
      <c r="IS118" s="8"/>
      <c r="IT118" s="8"/>
      <c r="IU118" s="8"/>
      <c r="IV118" s="8"/>
    </row>
    <row r="119" ht="12.75" customHeight="1">
      <c r="A119" s="8"/>
      <c r="HT119" s="8"/>
      <c r="HU119" s="8"/>
      <c r="HV119" s="8"/>
      <c r="HW119" s="8"/>
      <c r="HX119" s="8"/>
      <c r="HY119" s="8"/>
      <c r="HZ119" s="8"/>
      <c r="IA119" s="8"/>
      <c r="IB119" s="8"/>
      <c r="IC119" s="8"/>
      <c r="ID119" s="8"/>
      <c r="IE119" s="8"/>
      <c r="IF119" s="8"/>
      <c r="IG119" s="8"/>
      <c r="IH119" s="8"/>
      <c r="II119" s="8"/>
      <c r="IJ119" s="8"/>
      <c r="IK119" s="8"/>
      <c r="IL119" s="8"/>
      <c r="IM119" s="8"/>
      <c r="IN119" s="8"/>
      <c r="IO119" s="8"/>
      <c r="IP119" s="8"/>
      <c r="IQ119" s="8"/>
      <c r="IR119" s="8"/>
      <c r="IS119" s="8"/>
      <c r="IT119" s="8"/>
      <c r="IU119" s="8"/>
      <c r="IV119" s="8"/>
    </row>
    <row r="120" ht="12.75" customHeight="1">
      <c r="A120" s="8"/>
      <c r="HT120" s="8"/>
      <c r="HU120" s="8"/>
      <c r="HV120" s="8"/>
      <c r="HW120" s="8"/>
      <c r="HX120" s="8"/>
      <c r="HY120" s="8"/>
      <c r="HZ120" s="8"/>
      <c r="IA120" s="8"/>
      <c r="IB120" s="8"/>
      <c r="IC120" s="8"/>
      <c r="ID120" s="8"/>
      <c r="IE120" s="8"/>
      <c r="IF120" s="8"/>
      <c r="IG120" s="8"/>
      <c r="IH120" s="8"/>
      <c r="II120" s="8"/>
      <c r="IJ120" s="8"/>
      <c r="IK120" s="8"/>
      <c r="IL120" s="8"/>
      <c r="IM120" s="8"/>
      <c r="IN120" s="8"/>
      <c r="IO120" s="8"/>
      <c r="IP120" s="8"/>
      <c r="IQ120" s="8"/>
      <c r="IR120" s="8"/>
      <c r="IS120" s="8"/>
      <c r="IT120" s="8"/>
      <c r="IU120" s="8"/>
      <c r="IV120" s="8"/>
    </row>
    <row r="121" ht="12.75" customHeight="1">
      <c r="A121" s="8"/>
      <c r="HT121" s="8"/>
      <c r="HU121" s="8"/>
      <c r="HV121" s="8"/>
      <c r="HW121" s="8"/>
      <c r="HX121" s="8"/>
      <c r="HY121" s="8"/>
      <c r="HZ121" s="8"/>
      <c r="IA121" s="8"/>
      <c r="IB121" s="8"/>
      <c r="IC121" s="8"/>
      <c r="ID121" s="8"/>
      <c r="IE121" s="8"/>
      <c r="IF121" s="8"/>
      <c r="IG121" s="8"/>
      <c r="IH121" s="8"/>
      <c r="II121" s="8"/>
      <c r="IJ121" s="8"/>
      <c r="IK121" s="8"/>
      <c r="IL121" s="8"/>
      <c r="IM121" s="8"/>
      <c r="IN121" s="8"/>
      <c r="IO121" s="8"/>
      <c r="IP121" s="8"/>
      <c r="IQ121" s="8"/>
      <c r="IR121" s="8"/>
      <c r="IS121" s="8"/>
      <c r="IT121" s="8"/>
      <c r="IU121" s="8"/>
      <c r="IV121" s="8"/>
    </row>
    <row r="122" ht="12.75" customHeight="1">
      <c r="A122" s="8"/>
      <c r="HT122" s="8"/>
      <c r="HU122" s="8"/>
      <c r="HV122" s="8"/>
      <c r="HW122" s="8"/>
      <c r="HX122" s="8"/>
      <c r="HY122" s="8"/>
      <c r="HZ122" s="8"/>
      <c r="IA122" s="8"/>
      <c r="IB122" s="8"/>
      <c r="IC122" s="8"/>
      <c r="ID122" s="8"/>
      <c r="IE122" s="8"/>
      <c r="IF122" s="8"/>
      <c r="IG122" s="8"/>
      <c r="IH122" s="8"/>
      <c r="II122" s="8"/>
      <c r="IJ122" s="8"/>
      <c r="IK122" s="8"/>
      <c r="IL122" s="8"/>
      <c r="IM122" s="8"/>
      <c r="IN122" s="8"/>
      <c r="IO122" s="8"/>
      <c r="IP122" s="8"/>
      <c r="IQ122" s="8"/>
      <c r="IR122" s="8"/>
      <c r="IS122" s="8"/>
      <c r="IT122" s="8"/>
      <c r="IU122" s="8"/>
      <c r="IV122" s="8"/>
    </row>
    <row r="123" ht="12.75" customHeight="1">
      <c r="A123" s="8"/>
      <c r="HT123" s="8"/>
      <c r="HU123" s="8"/>
      <c r="HV123" s="8"/>
      <c r="HW123" s="8"/>
      <c r="HX123" s="8"/>
      <c r="HY123" s="8"/>
      <c r="HZ123" s="8"/>
      <c r="IA123" s="8"/>
      <c r="IB123" s="8"/>
      <c r="IC123" s="8"/>
      <c r="ID123" s="8"/>
      <c r="IE123" s="8"/>
      <c r="IF123" s="8"/>
      <c r="IG123" s="8"/>
      <c r="IH123" s="8"/>
      <c r="II123" s="8"/>
      <c r="IJ123" s="8"/>
      <c r="IK123" s="8"/>
      <c r="IL123" s="8"/>
      <c r="IM123" s="8"/>
      <c r="IN123" s="8"/>
      <c r="IO123" s="8"/>
      <c r="IP123" s="8"/>
      <c r="IQ123" s="8"/>
      <c r="IR123" s="8"/>
      <c r="IS123" s="8"/>
      <c r="IT123" s="8"/>
      <c r="IU123" s="8"/>
      <c r="IV123" s="8"/>
    </row>
    <row r="124" ht="12.75" customHeight="1">
      <c r="A124" s="8"/>
      <c r="HT124" s="8"/>
      <c r="HU124" s="8"/>
      <c r="HV124" s="8"/>
      <c r="HW124" s="8"/>
      <c r="HX124" s="8"/>
      <c r="HY124" s="8"/>
      <c r="HZ124" s="8"/>
      <c r="IA124" s="8"/>
      <c r="IB124" s="8"/>
      <c r="IC124" s="8"/>
      <c r="ID124" s="8"/>
      <c r="IE124" s="8"/>
      <c r="IF124" s="8"/>
      <c r="IG124" s="8"/>
      <c r="IH124" s="8"/>
      <c r="II124" s="8"/>
      <c r="IJ124" s="8"/>
      <c r="IK124" s="8"/>
      <c r="IL124" s="8"/>
      <c r="IM124" s="8"/>
      <c r="IN124" s="8"/>
      <c r="IO124" s="8"/>
      <c r="IP124" s="8"/>
      <c r="IQ124" s="8"/>
      <c r="IR124" s="8"/>
      <c r="IS124" s="8"/>
      <c r="IT124" s="8"/>
      <c r="IU124" s="8"/>
      <c r="IV124" s="8"/>
    </row>
    <row r="125" ht="12.75" customHeight="1">
      <c r="A125" s="8"/>
      <c r="HT125" s="8"/>
      <c r="HU125" s="8"/>
      <c r="HV125" s="8"/>
      <c r="HW125" s="8"/>
      <c r="HX125" s="8"/>
      <c r="HY125" s="8"/>
      <c r="HZ125" s="8"/>
      <c r="IA125" s="8"/>
      <c r="IB125" s="8"/>
      <c r="IC125" s="8"/>
      <c r="ID125" s="8"/>
      <c r="IE125" s="8"/>
      <c r="IF125" s="8"/>
      <c r="IG125" s="8"/>
      <c r="IH125" s="8"/>
      <c r="II125" s="8"/>
      <c r="IJ125" s="8"/>
      <c r="IK125" s="8"/>
      <c r="IL125" s="8"/>
      <c r="IM125" s="8"/>
      <c r="IN125" s="8"/>
      <c r="IO125" s="8"/>
      <c r="IP125" s="8"/>
      <c r="IQ125" s="8"/>
      <c r="IR125" s="8"/>
      <c r="IS125" s="8"/>
      <c r="IT125" s="8"/>
      <c r="IU125" s="8"/>
      <c r="IV125" s="8"/>
    </row>
    <row r="126" ht="12.75" customHeight="1">
      <c r="A126" s="8"/>
      <c r="HT126" s="8"/>
      <c r="HU126" s="8"/>
      <c r="HV126" s="8"/>
      <c r="HW126" s="8"/>
      <c r="HX126" s="8"/>
      <c r="HY126" s="8"/>
      <c r="HZ126" s="8"/>
      <c r="IA126" s="8"/>
      <c r="IB126" s="8"/>
      <c r="IC126" s="8"/>
      <c r="ID126" s="8"/>
      <c r="IE126" s="8"/>
      <c r="IF126" s="8"/>
      <c r="IG126" s="8"/>
      <c r="IH126" s="8"/>
      <c r="II126" s="8"/>
      <c r="IJ126" s="8"/>
      <c r="IK126" s="8"/>
      <c r="IL126" s="8"/>
      <c r="IM126" s="8"/>
      <c r="IN126" s="8"/>
      <c r="IO126" s="8"/>
      <c r="IP126" s="8"/>
      <c r="IQ126" s="8"/>
      <c r="IR126" s="8"/>
      <c r="IS126" s="8"/>
      <c r="IT126" s="8"/>
      <c r="IU126" s="8"/>
      <c r="IV126" s="8"/>
    </row>
    <row r="127" ht="12.75" customHeight="1">
      <c r="A127" s="8"/>
      <c r="HT127" s="8"/>
      <c r="HU127" s="8"/>
      <c r="HV127" s="8"/>
      <c r="HW127" s="8"/>
      <c r="HX127" s="8"/>
      <c r="HY127" s="8"/>
      <c r="HZ127" s="8"/>
      <c r="IA127" s="8"/>
      <c r="IB127" s="8"/>
      <c r="IC127" s="8"/>
      <c r="ID127" s="8"/>
      <c r="IE127" s="8"/>
      <c r="IF127" s="8"/>
      <c r="IG127" s="8"/>
      <c r="IH127" s="8"/>
      <c r="II127" s="8"/>
      <c r="IJ127" s="8"/>
      <c r="IK127" s="8"/>
      <c r="IL127" s="8"/>
      <c r="IM127" s="8"/>
      <c r="IN127" s="8"/>
      <c r="IO127" s="8"/>
      <c r="IP127" s="8"/>
      <c r="IQ127" s="8"/>
      <c r="IR127" s="8"/>
      <c r="IS127" s="8"/>
      <c r="IT127" s="8"/>
      <c r="IU127" s="8"/>
      <c r="IV127" s="8"/>
    </row>
    <row r="128" ht="12.75" customHeight="1">
      <c r="A128" s="8"/>
      <c r="HT128" s="8"/>
      <c r="HU128" s="8"/>
      <c r="HV128" s="8"/>
      <c r="HW128" s="8"/>
      <c r="HX128" s="8"/>
      <c r="HY128" s="8"/>
      <c r="HZ128" s="8"/>
      <c r="IA128" s="8"/>
      <c r="IB128" s="8"/>
      <c r="IC128" s="8"/>
      <c r="ID128" s="8"/>
      <c r="IE128" s="8"/>
      <c r="IF128" s="8"/>
      <c r="IG128" s="8"/>
      <c r="IH128" s="8"/>
      <c r="II128" s="8"/>
      <c r="IJ128" s="8"/>
      <c r="IK128" s="8"/>
      <c r="IL128" s="8"/>
      <c r="IM128" s="8"/>
      <c r="IN128" s="8"/>
      <c r="IO128" s="8"/>
      <c r="IP128" s="8"/>
      <c r="IQ128" s="8"/>
      <c r="IR128" s="8"/>
      <c r="IS128" s="8"/>
      <c r="IT128" s="8"/>
      <c r="IU128" s="8"/>
      <c r="IV128" s="8"/>
    </row>
    <row r="129" ht="12.75" customHeight="1">
      <c r="A129" s="8"/>
      <c r="HT129" s="8"/>
      <c r="HU129" s="8"/>
      <c r="HV129" s="8"/>
      <c r="HW129" s="8"/>
      <c r="HX129" s="8"/>
      <c r="HY129" s="8"/>
      <c r="HZ129" s="8"/>
      <c r="IA129" s="8"/>
      <c r="IB129" s="8"/>
      <c r="IC129" s="8"/>
      <c r="ID129" s="8"/>
      <c r="IE129" s="8"/>
      <c r="IF129" s="8"/>
      <c r="IG129" s="8"/>
      <c r="IH129" s="8"/>
      <c r="II129" s="8"/>
      <c r="IJ129" s="8"/>
      <c r="IK129" s="8"/>
      <c r="IL129" s="8"/>
      <c r="IM129" s="8"/>
      <c r="IN129" s="8"/>
      <c r="IO129" s="8"/>
      <c r="IP129" s="8"/>
      <c r="IQ129" s="8"/>
      <c r="IR129" s="8"/>
      <c r="IS129" s="8"/>
      <c r="IT129" s="8"/>
      <c r="IU129" s="8"/>
      <c r="IV129" s="8"/>
    </row>
    <row r="130" ht="12.75" customHeight="1">
      <c r="A130" s="8"/>
      <c r="HT130" s="8"/>
      <c r="HU130" s="8"/>
      <c r="HV130" s="8"/>
      <c r="HW130" s="8"/>
      <c r="HX130" s="8"/>
      <c r="HY130" s="8"/>
      <c r="HZ130" s="8"/>
      <c r="IA130" s="8"/>
      <c r="IB130" s="8"/>
      <c r="IC130" s="8"/>
      <c r="ID130" s="8"/>
      <c r="IE130" s="8"/>
      <c r="IF130" s="8"/>
      <c r="IG130" s="8"/>
      <c r="IH130" s="8"/>
      <c r="II130" s="8"/>
      <c r="IJ130" s="8"/>
      <c r="IK130" s="8"/>
      <c r="IL130" s="8"/>
      <c r="IM130" s="8"/>
      <c r="IN130" s="8"/>
      <c r="IO130" s="8"/>
      <c r="IP130" s="8"/>
      <c r="IQ130" s="8"/>
      <c r="IR130" s="8"/>
      <c r="IS130" s="8"/>
      <c r="IT130" s="8"/>
      <c r="IU130" s="8"/>
      <c r="IV130" s="8"/>
    </row>
    <row r="131" ht="12.75" customHeight="1">
      <c r="A131" s="8"/>
      <c r="HT131" s="8"/>
      <c r="HU131" s="8"/>
      <c r="HV131" s="8"/>
      <c r="HW131" s="8"/>
      <c r="HX131" s="8"/>
      <c r="HY131" s="8"/>
      <c r="HZ131" s="8"/>
      <c r="IA131" s="8"/>
      <c r="IB131" s="8"/>
      <c r="IC131" s="8"/>
      <c r="ID131" s="8"/>
      <c r="IE131" s="8"/>
      <c r="IF131" s="8"/>
      <c r="IG131" s="8"/>
      <c r="IH131" s="8"/>
      <c r="II131" s="8"/>
      <c r="IJ131" s="8"/>
      <c r="IK131" s="8"/>
      <c r="IL131" s="8"/>
      <c r="IM131" s="8"/>
      <c r="IN131" s="8"/>
      <c r="IO131" s="8"/>
      <c r="IP131" s="8"/>
      <c r="IQ131" s="8"/>
      <c r="IR131" s="8"/>
      <c r="IS131" s="8"/>
      <c r="IT131" s="8"/>
      <c r="IU131" s="8"/>
      <c r="IV131" s="8"/>
    </row>
    <row r="132" ht="12.75" customHeight="1">
      <c r="A132" s="8"/>
      <c r="HT132" s="8"/>
      <c r="HU132" s="8"/>
      <c r="HV132" s="8"/>
      <c r="HW132" s="8"/>
      <c r="HX132" s="8"/>
      <c r="HY132" s="8"/>
      <c r="HZ132" s="8"/>
      <c r="IA132" s="8"/>
      <c r="IB132" s="8"/>
      <c r="IC132" s="8"/>
      <c r="ID132" s="8"/>
      <c r="IE132" s="8"/>
      <c r="IF132" s="8"/>
      <c r="IG132" s="8"/>
      <c r="IH132" s="8"/>
      <c r="II132" s="8"/>
      <c r="IJ132" s="8"/>
      <c r="IK132" s="8"/>
      <c r="IL132" s="8"/>
      <c r="IM132" s="8"/>
      <c r="IN132" s="8"/>
      <c r="IO132" s="8"/>
      <c r="IP132" s="8"/>
      <c r="IQ132" s="8"/>
      <c r="IR132" s="8"/>
      <c r="IS132" s="8"/>
      <c r="IT132" s="8"/>
      <c r="IU132" s="8"/>
      <c r="IV132" s="8"/>
    </row>
    <row r="133" ht="12.75" customHeight="1">
      <c r="A133" s="8"/>
      <c r="HT133" s="8"/>
      <c r="HU133" s="8"/>
      <c r="HV133" s="8"/>
      <c r="HW133" s="8"/>
      <c r="HX133" s="8"/>
      <c r="HY133" s="8"/>
      <c r="HZ133" s="8"/>
      <c r="IA133" s="8"/>
      <c r="IB133" s="8"/>
      <c r="IC133" s="8"/>
      <c r="ID133" s="8"/>
      <c r="IE133" s="8"/>
      <c r="IF133" s="8"/>
      <c r="IG133" s="8"/>
      <c r="IH133" s="8"/>
      <c r="II133" s="8"/>
      <c r="IJ133" s="8"/>
      <c r="IK133" s="8"/>
      <c r="IL133" s="8"/>
      <c r="IM133" s="8"/>
      <c r="IN133" s="8"/>
      <c r="IO133" s="8"/>
      <c r="IP133" s="8"/>
      <c r="IQ133" s="8"/>
      <c r="IR133" s="8"/>
      <c r="IS133" s="8"/>
      <c r="IT133" s="8"/>
      <c r="IU133" s="8"/>
      <c r="IV133" s="8"/>
    </row>
    <row r="134" ht="12.75" customHeight="1">
      <c r="A134" s="8"/>
      <c r="HT134" s="8"/>
      <c r="HU134" s="8"/>
      <c r="HV134" s="8"/>
      <c r="HW134" s="8"/>
      <c r="HX134" s="8"/>
      <c r="HY134" s="8"/>
      <c r="HZ134" s="8"/>
      <c r="IA134" s="8"/>
      <c r="IB134" s="8"/>
      <c r="IC134" s="8"/>
      <c r="ID134" s="8"/>
      <c r="IE134" s="8"/>
      <c r="IF134" s="8"/>
      <c r="IG134" s="8"/>
      <c r="IH134" s="8"/>
      <c r="II134" s="8"/>
      <c r="IJ134" s="8"/>
      <c r="IK134" s="8"/>
      <c r="IL134" s="8"/>
      <c r="IM134" s="8"/>
      <c r="IN134" s="8"/>
      <c r="IO134" s="8"/>
      <c r="IP134" s="8"/>
      <c r="IQ134" s="8"/>
      <c r="IR134" s="8"/>
      <c r="IS134" s="8"/>
      <c r="IT134" s="8"/>
      <c r="IU134" s="8"/>
      <c r="IV134" s="8"/>
    </row>
    <row r="135" ht="12.75" customHeight="1">
      <c r="A135" s="8"/>
      <c r="HT135" s="8"/>
      <c r="HU135" s="8"/>
      <c r="HV135" s="8"/>
      <c r="HW135" s="8"/>
      <c r="HX135" s="8"/>
      <c r="HY135" s="8"/>
      <c r="HZ135" s="8"/>
      <c r="IA135" s="8"/>
      <c r="IB135" s="8"/>
      <c r="IC135" s="8"/>
      <c r="ID135" s="8"/>
      <c r="IE135" s="8"/>
      <c r="IF135" s="8"/>
      <c r="IG135" s="8"/>
      <c r="IH135" s="8"/>
      <c r="II135" s="8"/>
      <c r="IJ135" s="8"/>
      <c r="IK135" s="8"/>
      <c r="IL135" s="8"/>
      <c r="IM135" s="8"/>
      <c r="IN135" s="8"/>
      <c r="IO135" s="8"/>
      <c r="IP135" s="8"/>
      <c r="IQ135" s="8"/>
      <c r="IR135" s="8"/>
      <c r="IS135" s="8"/>
      <c r="IT135" s="8"/>
      <c r="IU135" s="8"/>
      <c r="IV135" s="8"/>
    </row>
    <row r="136" ht="12.75" customHeight="1">
      <c r="A136" s="8"/>
      <c r="HT136" s="8"/>
      <c r="HU136" s="8"/>
      <c r="HV136" s="8"/>
      <c r="HW136" s="8"/>
      <c r="HX136" s="8"/>
      <c r="HY136" s="8"/>
      <c r="HZ136" s="8"/>
      <c r="IA136" s="8"/>
      <c r="IB136" s="8"/>
      <c r="IC136" s="8"/>
      <c r="ID136" s="8"/>
      <c r="IE136" s="8"/>
      <c r="IF136" s="8"/>
      <c r="IG136" s="8"/>
      <c r="IH136" s="8"/>
      <c r="II136" s="8"/>
      <c r="IJ136" s="8"/>
      <c r="IK136" s="8"/>
      <c r="IL136" s="8"/>
      <c r="IM136" s="8"/>
      <c r="IN136" s="8"/>
      <c r="IO136" s="8"/>
      <c r="IP136" s="8"/>
      <c r="IQ136" s="8"/>
      <c r="IR136" s="8"/>
      <c r="IS136" s="8"/>
      <c r="IT136" s="8"/>
      <c r="IU136" s="8"/>
      <c r="IV136" s="8"/>
    </row>
    <row r="137" ht="12.75" customHeight="1">
      <c r="A137" s="8"/>
      <c r="HT137" s="8"/>
      <c r="HU137" s="8"/>
      <c r="HV137" s="8"/>
      <c r="HW137" s="8"/>
      <c r="HX137" s="8"/>
      <c r="HY137" s="8"/>
      <c r="HZ137" s="8"/>
      <c r="IA137" s="8"/>
      <c r="IB137" s="8"/>
      <c r="IC137" s="8"/>
      <c r="ID137" s="8"/>
      <c r="IE137" s="8"/>
      <c r="IF137" s="8"/>
      <c r="IG137" s="8"/>
      <c r="IH137" s="8"/>
      <c r="II137" s="8"/>
      <c r="IJ137" s="8"/>
      <c r="IK137" s="8"/>
      <c r="IL137" s="8"/>
      <c r="IM137" s="8"/>
      <c r="IN137" s="8"/>
      <c r="IO137" s="8"/>
      <c r="IP137" s="8"/>
      <c r="IQ137" s="8"/>
      <c r="IR137" s="8"/>
      <c r="IS137" s="8"/>
      <c r="IT137" s="8"/>
      <c r="IU137" s="8"/>
      <c r="IV137" s="8"/>
    </row>
    <row r="138" ht="12.75" customHeight="1">
      <c r="A138" s="8"/>
      <c r="HT138" s="8"/>
      <c r="HU138" s="8"/>
      <c r="HV138" s="8"/>
      <c r="HW138" s="8"/>
      <c r="HX138" s="8"/>
      <c r="HY138" s="8"/>
      <c r="HZ138" s="8"/>
      <c r="IA138" s="8"/>
      <c r="IB138" s="8"/>
      <c r="IC138" s="8"/>
      <c r="ID138" s="8"/>
      <c r="IE138" s="8"/>
      <c r="IF138" s="8"/>
      <c r="IG138" s="8"/>
      <c r="IH138" s="8"/>
      <c r="II138" s="8"/>
      <c r="IJ138" s="8"/>
      <c r="IK138" s="8"/>
      <c r="IL138" s="8"/>
      <c r="IM138" s="8"/>
      <c r="IN138" s="8"/>
      <c r="IO138" s="8"/>
      <c r="IP138" s="8"/>
      <c r="IQ138" s="8"/>
      <c r="IR138" s="8"/>
      <c r="IS138" s="8"/>
      <c r="IT138" s="8"/>
      <c r="IU138" s="8"/>
      <c r="IV138" s="8"/>
    </row>
    <row r="139" ht="12.75" customHeight="1">
      <c r="A139" s="8"/>
      <c r="HT139" s="8"/>
      <c r="HU139" s="8"/>
      <c r="HV139" s="8"/>
      <c r="HW139" s="8"/>
      <c r="HX139" s="8"/>
      <c r="HY139" s="8"/>
      <c r="HZ139" s="8"/>
      <c r="IA139" s="8"/>
      <c r="IB139" s="8"/>
      <c r="IC139" s="8"/>
      <c r="ID139" s="8"/>
      <c r="IE139" s="8"/>
      <c r="IF139" s="8"/>
      <c r="IG139" s="8"/>
      <c r="IH139" s="8"/>
      <c r="II139" s="8"/>
      <c r="IJ139" s="8"/>
      <c r="IK139" s="8"/>
      <c r="IL139" s="8"/>
      <c r="IM139" s="8"/>
      <c r="IN139" s="8"/>
      <c r="IO139" s="8"/>
      <c r="IP139" s="8"/>
      <c r="IQ139" s="8"/>
      <c r="IR139" s="8"/>
      <c r="IS139" s="8"/>
      <c r="IT139" s="8"/>
      <c r="IU139" s="8"/>
      <c r="IV139" s="8"/>
    </row>
    <row r="140" ht="12.75" customHeight="1">
      <c r="A140" s="8"/>
      <c r="HT140" s="8"/>
      <c r="HU140" s="8"/>
      <c r="HV140" s="8"/>
      <c r="HW140" s="8"/>
      <c r="HX140" s="8"/>
      <c r="HY140" s="8"/>
      <c r="HZ140" s="8"/>
      <c r="IA140" s="8"/>
      <c r="IB140" s="8"/>
      <c r="IC140" s="8"/>
      <c r="ID140" s="8"/>
      <c r="IE140" s="8"/>
      <c r="IF140" s="8"/>
      <c r="IG140" s="8"/>
      <c r="IH140" s="8"/>
      <c r="II140" s="8"/>
      <c r="IJ140" s="8"/>
      <c r="IK140" s="8"/>
      <c r="IL140" s="8"/>
      <c r="IM140" s="8"/>
      <c r="IN140" s="8"/>
      <c r="IO140" s="8"/>
      <c r="IP140" s="8"/>
      <c r="IQ140" s="8"/>
      <c r="IR140" s="8"/>
      <c r="IS140" s="8"/>
      <c r="IT140" s="8"/>
      <c r="IU140" s="8"/>
      <c r="IV140" s="8"/>
    </row>
    <row r="141" ht="12.75" customHeight="1">
      <c r="A141" s="8"/>
      <c r="HT141" s="8"/>
      <c r="HU141" s="8"/>
      <c r="HV141" s="8"/>
      <c r="HW141" s="8"/>
      <c r="HX141" s="8"/>
      <c r="HY141" s="8"/>
      <c r="HZ141" s="8"/>
      <c r="IA141" s="8"/>
      <c r="IB141" s="8"/>
      <c r="IC141" s="8"/>
      <c r="ID141" s="8"/>
      <c r="IE141" s="8"/>
      <c r="IF141" s="8"/>
      <c r="IG141" s="8"/>
      <c r="IH141" s="8"/>
      <c r="II141" s="8"/>
      <c r="IJ141" s="8"/>
      <c r="IK141" s="8"/>
      <c r="IL141" s="8"/>
      <c r="IM141" s="8"/>
      <c r="IN141" s="8"/>
      <c r="IO141" s="8"/>
      <c r="IP141" s="8"/>
      <c r="IQ141" s="8"/>
      <c r="IR141" s="8"/>
      <c r="IS141" s="8"/>
      <c r="IT141" s="8"/>
      <c r="IU141" s="8"/>
      <c r="IV141" s="8"/>
    </row>
    <row r="142" ht="12.75" customHeight="1">
      <c r="A142" s="8"/>
      <c r="HT142" s="8"/>
      <c r="HU142" s="8"/>
      <c r="HV142" s="8"/>
      <c r="HW142" s="8"/>
      <c r="HX142" s="8"/>
      <c r="HY142" s="8"/>
      <c r="HZ142" s="8"/>
      <c r="IA142" s="8"/>
      <c r="IB142" s="8"/>
      <c r="IC142" s="8"/>
      <c r="ID142" s="8"/>
      <c r="IE142" s="8"/>
      <c r="IF142" s="8"/>
      <c r="IG142" s="8"/>
      <c r="IH142" s="8"/>
      <c r="II142" s="8"/>
      <c r="IJ142" s="8"/>
      <c r="IK142" s="8"/>
      <c r="IL142" s="8"/>
      <c r="IM142" s="8"/>
      <c r="IN142" s="8"/>
      <c r="IO142" s="8"/>
      <c r="IP142" s="8"/>
      <c r="IQ142" s="8"/>
      <c r="IR142" s="8"/>
      <c r="IS142" s="8"/>
      <c r="IT142" s="8"/>
      <c r="IU142" s="8"/>
      <c r="IV142" s="8"/>
    </row>
    <row r="143" ht="12.75" customHeight="1">
      <c r="A143" s="8"/>
      <c r="HT143" s="8"/>
      <c r="HU143" s="8"/>
      <c r="HV143" s="8"/>
      <c r="HW143" s="8"/>
      <c r="HX143" s="8"/>
      <c r="HY143" s="8"/>
      <c r="HZ143" s="8"/>
      <c r="IA143" s="8"/>
      <c r="IB143" s="8"/>
      <c r="IC143" s="8"/>
      <c r="ID143" s="8"/>
      <c r="IE143" s="8"/>
      <c r="IF143" s="8"/>
      <c r="IG143" s="8"/>
      <c r="IH143" s="8"/>
      <c r="II143" s="8"/>
      <c r="IJ143" s="8"/>
      <c r="IK143" s="8"/>
      <c r="IL143" s="8"/>
      <c r="IM143" s="8"/>
      <c r="IN143" s="8"/>
      <c r="IO143" s="8"/>
      <c r="IP143" s="8"/>
      <c r="IQ143" s="8"/>
      <c r="IR143" s="8"/>
      <c r="IS143" s="8"/>
      <c r="IT143" s="8"/>
      <c r="IU143" s="8"/>
      <c r="IV143" s="8"/>
    </row>
    <row r="144" ht="12.75" customHeight="1">
      <c r="A144" s="8"/>
      <c r="HT144" s="8"/>
      <c r="HU144" s="8"/>
      <c r="HV144" s="8"/>
      <c r="HW144" s="8"/>
      <c r="HX144" s="8"/>
      <c r="HY144" s="8"/>
      <c r="HZ144" s="8"/>
      <c r="IA144" s="8"/>
      <c r="IB144" s="8"/>
      <c r="IC144" s="8"/>
      <c r="ID144" s="8"/>
      <c r="IE144" s="8"/>
      <c r="IF144" s="8"/>
      <c r="IG144" s="8"/>
      <c r="IH144" s="8"/>
      <c r="II144" s="8"/>
      <c r="IJ144" s="8"/>
      <c r="IK144" s="8"/>
      <c r="IL144" s="8"/>
      <c r="IM144" s="8"/>
      <c r="IN144" s="8"/>
      <c r="IO144" s="8"/>
      <c r="IP144" s="8"/>
      <c r="IQ144" s="8"/>
      <c r="IR144" s="8"/>
      <c r="IS144" s="8"/>
      <c r="IT144" s="8"/>
      <c r="IU144" s="8"/>
      <c r="IV144" s="8"/>
    </row>
    <row r="145" ht="12.75" customHeight="1">
      <c r="A145" s="8"/>
      <c r="HT145" s="8"/>
      <c r="HU145" s="8"/>
      <c r="HV145" s="8"/>
      <c r="HW145" s="8"/>
      <c r="HX145" s="8"/>
      <c r="HY145" s="8"/>
      <c r="HZ145" s="8"/>
      <c r="IA145" s="8"/>
      <c r="IB145" s="8"/>
      <c r="IC145" s="8"/>
      <c r="ID145" s="8"/>
      <c r="IE145" s="8"/>
      <c r="IF145" s="8"/>
      <c r="IG145" s="8"/>
      <c r="IH145" s="8"/>
      <c r="II145" s="8"/>
      <c r="IJ145" s="8"/>
      <c r="IK145" s="8"/>
      <c r="IL145" s="8"/>
      <c r="IM145" s="8"/>
      <c r="IN145" s="8"/>
      <c r="IO145" s="8"/>
      <c r="IP145" s="8"/>
      <c r="IQ145" s="8"/>
      <c r="IR145" s="8"/>
      <c r="IS145" s="8"/>
      <c r="IT145" s="8"/>
      <c r="IU145" s="8"/>
      <c r="IV145" s="8"/>
    </row>
    <row r="146" ht="12.75" customHeight="1">
      <c r="A146" s="8"/>
      <c r="HT146" s="8"/>
      <c r="HU146" s="8"/>
      <c r="HV146" s="8"/>
      <c r="HW146" s="8"/>
      <c r="HX146" s="8"/>
      <c r="HY146" s="8"/>
      <c r="HZ146" s="8"/>
      <c r="IA146" s="8"/>
      <c r="IB146" s="8"/>
      <c r="IC146" s="8"/>
      <c r="ID146" s="8"/>
      <c r="IE146" s="8"/>
      <c r="IF146" s="8"/>
      <c r="IG146" s="8"/>
      <c r="IH146" s="8"/>
      <c r="II146" s="8"/>
      <c r="IJ146" s="8"/>
      <c r="IK146" s="8"/>
      <c r="IL146" s="8"/>
      <c r="IM146" s="8"/>
      <c r="IN146" s="8"/>
      <c r="IO146" s="8"/>
      <c r="IP146" s="8"/>
      <c r="IQ146" s="8"/>
      <c r="IR146" s="8"/>
      <c r="IS146" s="8"/>
      <c r="IT146" s="8"/>
      <c r="IU146" s="8"/>
      <c r="IV146" s="8"/>
    </row>
    <row r="147" ht="12.75" customHeight="1">
      <c r="A147" s="8"/>
      <c r="HT147" s="8"/>
      <c r="HU147" s="8"/>
      <c r="HV147" s="8"/>
      <c r="HW147" s="8"/>
      <c r="HX147" s="8"/>
      <c r="HY147" s="8"/>
      <c r="HZ147" s="8"/>
      <c r="IA147" s="8"/>
      <c r="IB147" s="8"/>
      <c r="IC147" s="8"/>
      <c r="ID147" s="8"/>
      <c r="IE147" s="8"/>
      <c r="IF147" s="8"/>
      <c r="IG147" s="8"/>
      <c r="IH147" s="8"/>
      <c r="II147" s="8"/>
      <c r="IJ147" s="8"/>
      <c r="IK147" s="8"/>
      <c r="IL147" s="8"/>
      <c r="IM147" s="8"/>
      <c r="IN147" s="8"/>
      <c r="IO147" s="8"/>
      <c r="IP147" s="8"/>
      <c r="IQ147" s="8"/>
      <c r="IR147" s="8"/>
      <c r="IS147" s="8"/>
      <c r="IT147" s="8"/>
      <c r="IU147" s="8"/>
      <c r="IV147" s="8"/>
    </row>
    <row r="148" ht="12.75" customHeight="1">
      <c r="A148" s="8"/>
      <c r="HT148" s="8"/>
      <c r="HU148" s="8"/>
      <c r="HV148" s="8"/>
      <c r="HW148" s="8"/>
      <c r="HX148" s="8"/>
      <c r="HY148" s="8"/>
      <c r="HZ148" s="8"/>
      <c r="IA148" s="8"/>
      <c r="IB148" s="8"/>
      <c r="IC148" s="8"/>
      <c r="ID148" s="8"/>
      <c r="IE148" s="8"/>
      <c r="IF148" s="8"/>
      <c r="IG148" s="8"/>
      <c r="IH148" s="8"/>
      <c r="II148" s="8"/>
      <c r="IJ148" s="8"/>
      <c r="IK148" s="8"/>
      <c r="IL148" s="8"/>
      <c r="IM148" s="8"/>
      <c r="IN148" s="8"/>
      <c r="IO148" s="8"/>
      <c r="IP148" s="8"/>
      <c r="IQ148" s="8"/>
      <c r="IR148" s="8"/>
      <c r="IS148" s="8"/>
      <c r="IT148" s="8"/>
      <c r="IU148" s="8"/>
      <c r="IV148" s="8"/>
    </row>
    <row r="149" ht="12.75" customHeight="1">
      <c r="A149" s="8"/>
      <c r="HT149" s="8"/>
      <c r="HU149" s="8"/>
      <c r="HV149" s="8"/>
      <c r="HW149" s="8"/>
      <c r="HX149" s="8"/>
      <c r="HY149" s="8"/>
      <c r="HZ149" s="8"/>
      <c r="IA149" s="8"/>
      <c r="IB149" s="8"/>
      <c r="IC149" s="8"/>
      <c r="ID149" s="8"/>
      <c r="IE149" s="8"/>
      <c r="IF149" s="8"/>
      <c r="IG149" s="8"/>
      <c r="IH149" s="8"/>
      <c r="II149" s="8"/>
      <c r="IJ149" s="8"/>
      <c r="IK149" s="8"/>
      <c r="IL149" s="8"/>
      <c r="IM149" s="8"/>
      <c r="IN149" s="8"/>
      <c r="IO149" s="8"/>
      <c r="IP149" s="8"/>
      <c r="IQ149" s="8"/>
      <c r="IR149" s="8"/>
      <c r="IS149" s="8"/>
      <c r="IT149" s="8"/>
      <c r="IU149" s="8"/>
      <c r="IV149" s="8"/>
    </row>
    <row r="150" ht="12.75" customHeight="1">
      <c r="A150" s="8"/>
      <c r="HT150" s="8"/>
      <c r="HU150" s="8"/>
      <c r="HV150" s="8"/>
      <c r="HW150" s="8"/>
      <c r="HX150" s="8"/>
      <c r="HY150" s="8"/>
      <c r="HZ150" s="8"/>
      <c r="IA150" s="8"/>
      <c r="IB150" s="8"/>
      <c r="IC150" s="8"/>
      <c r="ID150" s="8"/>
      <c r="IE150" s="8"/>
      <c r="IF150" s="8"/>
      <c r="IG150" s="8"/>
      <c r="IH150" s="8"/>
      <c r="II150" s="8"/>
      <c r="IJ150" s="8"/>
      <c r="IK150" s="8"/>
      <c r="IL150" s="8"/>
      <c r="IM150" s="8"/>
      <c r="IN150" s="8"/>
      <c r="IO150" s="8"/>
      <c r="IP150" s="8"/>
      <c r="IQ150" s="8"/>
      <c r="IR150" s="8"/>
      <c r="IS150" s="8"/>
      <c r="IT150" s="8"/>
      <c r="IU150" s="8"/>
      <c r="IV150" s="8"/>
    </row>
    <row r="151" ht="12.75" customHeight="1">
      <c r="A151" s="8"/>
      <c r="HT151" s="8"/>
      <c r="HU151" s="8"/>
      <c r="HV151" s="8"/>
      <c r="HW151" s="8"/>
      <c r="HX151" s="8"/>
      <c r="HY151" s="8"/>
      <c r="HZ151" s="8"/>
      <c r="IA151" s="8"/>
      <c r="IB151" s="8"/>
      <c r="IC151" s="8"/>
      <c r="ID151" s="8"/>
      <c r="IE151" s="8"/>
      <c r="IF151" s="8"/>
      <c r="IG151" s="8"/>
      <c r="IH151" s="8"/>
      <c r="II151" s="8"/>
      <c r="IJ151" s="8"/>
      <c r="IK151" s="8"/>
      <c r="IL151" s="8"/>
      <c r="IM151" s="8"/>
      <c r="IN151" s="8"/>
      <c r="IO151" s="8"/>
      <c r="IP151" s="8"/>
      <c r="IQ151" s="8"/>
      <c r="IR151" s="8"/>
      <c r="IS151" s="8"/>
      <c r="IT151" s="8"/>
      <c r="IU151" s="8"/>
      <c r="IV151" s="8"/>
    </row>
    <row r="152" ht="12.75" customHeight="1">
      <c r="A152" s="8"/>
      <c r="HT152" s="8"/>
      <c r="HU152" s="8"/>
      <c r="HV152" s="8"/>
      <c r="HW152" s="8"/>
      <c r="HX152" s="8"/>
      <c r="HY152" s="8"/>
      <c r="HZ152" s="8"/>
      <c r="IA152" s="8"/>
      <c r="IB152" s="8"/>
      <c r="IC152" s="8"/>
      <c r="ID152" s="8"/>
      <c r="IE152" s="8"/>
      <c r="IF152" s="8"/>
      <c r="IG152" s="8"/>
      <c r="IH152" s="8"/>
      <c r="II152" s="8"/>
      <c r="IJ152" s="8"/>
      <c r="IK152" s="8"/>
      <c r="IL152" s="8"/>
      <c r="IM152" s="8"/>
      <c r="IN152" s="8"/>
      <c r="IO152" s="8"/>
      <c r="IP152" s="8"/>
      <c r="IQ152" s="8"/>
      <c r="IR152" s="8"/>
      <c r="IS152" s="8"/>
      <c r="IT152" s="8"/>
      <c r="IU152" s="8"/>
      <c r="IV152" s="8"/>
    </row>
    <row r="153" ht="12.75" customHeight="1">
      <c r="A153" s="8"/>
      <c r="HT153" s="8"/>
      <c r="HU153" s="8"/>
      <c r="HV153" s="8"/>
      <c r="HW153" s="8"/>
      <c r="HX153" s="8"/>
      <c r="HY153" s="8"/>
      <c r="HZ153" s="8"/>
      <c r="IA153" s="8"/>
      <c r="IB153" s="8"/>
      <c r="IC153" s="8"/>
      <c r="ID153" s="8"/>
      <c r="IE153" s="8"/>
      <c r="IF153" s="8"/>
      <c r="IG153" s="8"/>
      <c r="IH153" s="8"/>
      <c r="II153" s="8"/>
      <c r="IJ153" s="8"/>
      <c r="IK153" s="8"/>
      <c r="IL153" s="8"/>
      <c r="IM153" s="8"/>
      <c r="IN153" s="8"/>
      <c r="IO153" s="8"/>
      <c r="IP153" s="8"/>
      <c r="IQ153" s="8"/>
      <c r="IR153" s="8"/>
      <c r="IS153" s="8"/>
      <c r="IT153" s="8"/>
      <c r="IU153" s="8"/>
      <c r="IV153" s="8"/>
    </row>
    <row r="154" ht="12.75" customHeight="1">
      <c r="A154" s="8"/>
      <c r="HT154" s="8"/>
      <c r="HU154" s="8"/>
      <c r="HV154" s="8"/>
      <c r="HW154" s="8"/>
      <c r="HX154" s="8"/>
      <c r="HY154" s="8"/>
      <c r="HZ154" s="8"/>
      <c r="IA154" s="8"/>
      <c r="IB154" s="8"/>
      <c r="IC154" s="8"/>
      <c r="ID154" s="8"/>
      <c r="IE154" s="8"/>
      <c r="IF154" s="8"/>
      <c r="IG154" s="8"/>
      <c r="IH154" s="8"/>
      <c r="II154" s="8"/>
      <c r="IJ154" s="8"/>
      <c r="IK154" s="8"/>
      <c r="IL154" s="8"/>
      <c r="IM154" s="8"/>
      <c r="IN154" s="8"/>
      <c r="IO154" s="8"/>
      <c r="IP154" s="8"/>
      <c r="IQ154" s="8"/>
      <c r="IR154" s="8"/>
      <c r="IS154" s="8"/>
      <c r="IT154" s="8"/>
      <c r="IU154" s="8"/>
      <c r="IV154" s="8"/>
    </row>
    <row r="155" ht="12.75" customHeight="1">
      <c r="A155" s="8"/>
      <c r="HT155" s="8"/>
      <c r="HU155" s="8"/>
      <c r="HV155" s="8"/>
      <c r="HW155" s="8"/>
      <c r="HX155" s="8"/>
      <c r="HY155" s="8"/>
      <c r="HZ155" s="8"/>
      <c r="IA155" s="8"/>
      <c r="IB155" s="8"/>
      <c r="IC155" s="8"/>
      <c r="ID155" s="8"/>
      <c r="IE155" s="8"/>
      <c r="IF155" s="8"/>
      <c r="IG155" s="8"/>
      <c r="IH155" s="8"/>
      <c r="II155" s="8"/>
      <c r="IJ155" s="8"/>
      <c r="IK155" s="8"/>
      <c r="IL155" s="8"/>
      <c r="IM155" s="8"/>
      <c r="IN155" s="8"/>
      <c r="IO155" s="8"/>
      <c r="IP155" s="8"/>
      <c r="IQ155" s="8"/>
      <c r="IR155" s="8"/>
      <c r="IS155" s="8"/>
      <c r="IT155" s="8"/>
      <c r="IU155" s="8"/>
      <c r="IV155" s="8"/>
    </row>
    <row r="156" ht="12.75" customHeight="1">
      <c r="A156" s="8"/>
      <c r="HT156" s="8"/>
      <c r="HU156" s="8"/>
      <c r="HV156" s="8"/>
      <c r="HW156" s="8"/>
      <c r="HX156" s="8"/>
      <c r="HY156" s="8"/>
      <c r="HZ156" s="8"/>
      <c r="IA156" s="8"/>
      <c r="IB156" s="8"/>
      <c r="IC156" s="8"/>
      <c r="ID156" s="8"/>
      <c r="IE156" s="8"/>
      <c r="IF156" s="8"/>
      <c r="IG156" s="8"/>
      <c r="IH156" s="8"/>
      <c r="II156" s="8"/>
      <c r="IJ156" s="8"/>
      <c r="IK156" s="8"/>
      <c r="IL156" s="8"/>
      <c r="IM156" s="8"/>
      <c r="IN156" s="8"/>
      <c r="IO156" s="8"/>
      <c r="IP156" s="8"/>
      <c r="IQ156" s="8"/>
      <c r="IR156" s="8"/>
      <c r="IS156" s="8"/>
      <c r="IT156" s="8"/>
      <c r="IU156" s="8"/>
      <c r="IV156" s="8"/>
    </row>
    <row r="157" ht="12.75" customHeight="1">
      <c r="A157" s="8"/>
      <c r="HT157" s="8"/>
      <c r="HU157" s="8"/>
      <c r="HV157" s="8"/>
      <c r="HW157" s="8"/>
      <c r="HX157" s="8"/>
      <c r="HY157" s="8"/>
      <c r="HZ157" s="8"/>
      <c r="IA157" s="8"/>
      <c r="IB157" s="8"/>
      <c r="IC157" s="8"/>
      <c r="ID157" s="8"/>
      <c r="IE157" s="8"/>
      <c r="IF157" s="8"/>
      <c r="IG157" s="8"/>
      <c r="IH157" s="8"/>
      <c r="II157" s="8"/>
      <c r="IJ157" s="8"/>
      <c r="IK157" s="8"/>
      <c r="IL157" s="8"/>
      <c r="IM157" s="8"/>
      <c r="IN157" s="8"/>
      <c r="IO157" s="8"/>
      <c r="IP157" s="8"/>
      <c r="IQ157" s="8"/>
      <c r="IR157" s="8"/>
      <c r="IS157" s="8"/>
      <c r="IT157" s="8"/>
      <c r="IU157" s="8"/>
      <c r="IV157" s="8"/>
    </row>
    <row r="158" ht="12.75" customHeight="1">
      <c r="A158" s="8"/>
      <c r="HT158" s="8"/>
      <c r="HU158" s="8"/>
      <c r="HV158" s="8"/>
      <c r="HW158" s="8"/>
      <c r="HX158" s="8"/>
      <c r="HY158" s="8"/>
      <c r="HZ158" s="8"/>
      <c r="IA158" s="8"/>
      <c r="IB158" s="8"/>
      <c r="IC158" s="8"/>
      <c r="ID158" s="8"/>
      <c r="IE158" s="8"/>
      <c r="IF158" s="8"/>
      <c r="IG158" s="8"/>
      <c r="IH158" s="8"/>
      <c r="II158" s="8"/>
      <c r="IJ158" s="8"/>
      <c r="IK158" s="8"/>
      <c r="IL158" s="8"/>
      <c r="IM158" s="8"/>
      <c r="IN158" s="8"/>
      <c r="IO158" s="8"/>
      <c r="IP158" s="8"/>
      <c r="IQ158" s="8"/>
      <c r="IR158" s="8"/>
      <c r="IS158" s="8"/>
      <c r="IT158" s="8"/>
      <c r="IU158" s="8"/>
      <c r="IV158" s="8"/>
    </row>
    <row r="159" ht="12.75" customHeight="1">
      <c r="A159" s="8"/>
      <c r="HT159" s="8"/>
      <c r="HU159" s="8"/>
      <c r="HV159" s="8"/>
      <c r="HW159" s="8"/>
      <c r="HX159" s="8"/>
      <c r="HY159" s="8"/>
      <c r="HZ159" s="8"/>
      <c r="IA159" s="8"/>
      <c r="IB159" s="8"/>
      <c r="IC159" s="8"/>
      <c r="ID159" s="8"/>
      <c r="IE159" s="8"/>
      <c r="IF159" s="8"/>
      <c r="IG159" s="8"/>
      <c r="IH159" s="8"/>
      <c r="II159" s="8"/>
      <c r="IJ159" s="8"/>
      <c r="IK159" s="8"/>
      <c r="IL159" s="8"/>
      <c r="IM159" s="8"/>
      <c r="IN159" s="8"/>
      <c r="IO159" s="8"/>
      <c r="IP159" s="8"/>
      <c r="IQ159" s="8"/>
      <c r="IR159" s="8"/>
      <c r="IS159" s="8"/>
      <c r="IT159" s="8"/>
      <c r="IU159" s="8"/>
      <c r="IV159" s="8"/>
    </row>
    <row r="160" ht="12.75" customHeight="1">
      <c r="A160" s="8"/>
      <c r="HT160" s="8"/>
      <c r="HU160" s="8"/>
      <c r="HV160" s="8"/>
      <c r="HW160" s="8"/>
      <c r="HX160" s="8"/>
      <c r="HY160" s="8"/>
      <c r="HZ160" s="8"/>
      <c r="IA160" s="8"/>
      <c r="IB160" s="8"/>
      <c r="IC160" s="8"/>
      <c r="ID160" s="8"/>
      <c r="IE160" s="8"/>
      <c r="IF160" s="8"/>
      <c r="IG160" s="8"/>
      <c r="IH160" s="8"/>
      <c r="II160" s="8"/>
      <c r="IJ160" s="8"/>
      <c r="IK160" s="8"/>
      <c r="IL160" s="8"/>
      <c r="IM160" s="8"/>
      <c r="IN160" s="8"/>
      <c r="IO160" s="8"/>
      <c r="IP160" s="8"/>
      <c r="IQ160" s="8"/>
      <c r="IR160" s="8"/>
      <c r="IS160" s="8"/>
      <c r="IT160" s="8"/>
      <c r="IU160" s="8"/>
      <c r="IV160" s="8"/>
    </row>
    <row r="161" ht="12.75" customHeight="1">
      <c r="A161" s="8"/>
      <c r="HT161" s="8"/>
      <c r="HU161" s="8"/>
      <c r="HV161" s="8"/>
      <c r="HW161" s="8"/>
      <c r="HX161" s="8"/>
      <c r="HY161" s="8"/>
      <c r="HZ161" s="8"/>
      <c r="IA161" s="8"/>
      <c r="IB161" s="8"/>
      <c r="IC161" s="8"/>
      <c r="ID161" s="8"/>
      <c r="IE161" s="8"/>
      <c r="IF161" s="8"/>
      <c r="IG161" s="8"/>
      <c r="IH161" s="8"/>
      <c r="II161" s="8"/>
      <c r="IJ161" s="8"/>
      <c r="IK161" s="8"/>
      <c r="IL161" s="8"/>
      <c r="IM161" s="8"/>
      <c r="IN161" s="8"/>
      <c r="IO161" s="8"/>
      <c r="IP161" s="8"/>
      <c r="IQ161" s="8"/>
      <c r="IR161" s="8"/>
      <c r="IS161" s="8"/>
      <c r="IT161" s="8"/>
      <c r="IU161" s="8"/>
      <c r="IV161" s="8"/>
    </row>
    <row r="162" ht="12.75" customHeight="1">
      <c r="A162" s="8"/>
      <c r="HT162" s="8"/>
      <c r="HU162" s="8"/>
      <c r="HV162" s="8"/>
      <c r="HW162" s="8"/>
      <c r="HX162" s="8"/>
      <c r="HY162" s="8"/>
      <c r="HZ162" s="8"/>
      <c r="IA162" s="8"/>
      <c r="IB162" s="8"/>
      <c r="IC162" s="8"/>
      <c r="ID162" s="8"/>
      <c r="IE162" s="8"/>
      <c r="IF162" s="8"/>
      <c r="IG162" s="8"/>
      <c r="IH162" s="8"/>
      <c r="II162" s="8"/>
      <c r="IJ162" s="8"/>
      <c r="IK162" s="8"/>
      <c r="IL162" s="8"/>
      <c r="IM162" s="8"/>
      <c r="IN162" s="8"/>
      <c r="IO162" s="8"/>
      <c r="IP162" s="8"/>
      <c r="IQ162" s="8"/>
      <c r="IR162" s="8"/>
      <c r="IS162" s="8"/>
      <c r="IT162" s="8"/>
      <c r="IU162" s="8"/>
      <c r="IV162" s="8"/>
    </row>
    <row r="163" ht="12.75" customHeight="1">
      <c r="A163" s="8"/>
      <c r="HT163" s="8"/>
      <c r="HU163" s="8"/>
      <c r="HV163" s="8"/>
      <c r="HW163" s="8"/>
      <c r="HX163" s="8"/>
      <c r="HY163" s="8"/>
      <c r="HZ163" s="8"/>
      <c r="IA163" s="8"/>
      <c r="IB163" s="8"/>
      <c r="IC163" s="8"/>
      <c r="ID163" s="8"/>
      <c r="IE163" s="8"/>
      <c r="IF163" s="8"/>
      <c r="IG163" s="8"/>
      <c r="IH163" s="8"/>
      <c r="II163" s="8"/>
      <c r="IJ163" s="8"/>
      <c r="IK163" s="8"/>
      <c r="IL163" s="8"/>
      <c r="IM163" s="8"/>
      <c r="IN163" s="8"/>
      <c r="IO163" s="8"/>
      <c r="IP163" s="8"/>
      <c r="IQ163" s="8"/>
      <c r="IR163" s="8"/>
      <c r="IS163" s="8"/>
      <c r="IT163" s="8"/>
      <c r="IU163" s="8"/>
      <c r="IV163" s="8"/>
    </row>
    <row r="164" ht="12.75" customHeight="1">
      <c r="A164" s="8"/>
      <c r="HT164" s="8"/>
      <c r="HU164" s="8"/>
      <c r="HV164" s="8"/>
      <c r="HW164" s="8"/>
      <c r="HX164" s="8"/>
      <c r="HY164" s="8"/>
      <c r="HZ164" s="8"/>
      <c r="IA164" s="8"/>
      <c r="IB164" s="8"/>
      <c r="IC164" s="8"/>
      <c r="ID164" s="8"/>
      <c r="IE164" s="8"/>
      <c r="IF164" s="8"/>
      <c r="IG164" s="8"/>
      <c r="IH164" s="8"/>
      <c r="II164" s="8"/>
      <c r="IJ164" s="8"/>
      <c r="IK164" s="8"/>
      <c r="IL164" s="8"/>
      <c r="IM164" s="8"/>
      <c r="IN164" s="8"/>
      <c r="IO164" s="8"/>
      <c r="IP164" s="8"/>
      <c r="IQ164" s="8"/>
      <c r="IR164" s="8"/>
      <c r="IS164" s="8"/>
      <c r="IT164" s="8"/>
      <c r="IU164" s="8"/>
      <c r="IV164" s="8"/>
    </row>
    <row r="165" ht="12.75" customHeight="1">
      <c r="A165" s="8"/>
      <c r="HT165" s="8"/>
      <c r="HU165" s="8"/>
      <c r="HV165" s="8"/>
      <c r="HW165" s="8"/>
      <c r="HX165" s="8"/>
      <c r="HY165" s="8"/>
      <c r="HZ165" s="8"/>
      <c r="IA165" s="8"/>
      <c r="IB165" s="8"/>
      <c r="IC165" s="8"/>
      <c r="ID165" s="8"/>
      <c r="IE165" s="8"/>
      <c r="IF165" s="8"/>
      <c r="IG165" s="8"/>
      <c r="IH165" s="8"/>
      <c r="II165" s="8"/>
      <c r="IJ165" s="8"/>
      <c r="IK165" s="8"/>
      <c r="IL165" s="8"/>
      <c r="IM165" s="8"/>
      <c r="IN165" s="8"/>
      <c r="IO165" s="8"/>
      <c r="IP165" s="8"/>
      <c r="IQ165" s="8"/>
      <c r="IR165" s="8"/>
      <c r="IS165" s="8"/>
      <c r="IT165" s="8"/>
      <c r="IU165" s="8"/>
      <c r="IV165" s="8"/>
    </row>
    <row r="166" ht="12.75" customHeight="1">
      <c r="A166" s="8"/>
      <c r="HT166" s="8"/>
      <c r="HU166" s="8"/>
      <c r="HV166" s="8"/>
      <c r="HW166" s="8"/>
      <c r="HX166" s="8"/>
      <c r="HY166" s="8"/>
      <c r="HZ166" s="8"/>
      <c r="IA166" s="8"/>
      <c r="IB166" s="8"/>
      <c r="IC166" s="8"/>
      <c r="ID166" s="8"/>
      <c r="IE166" s="8"/>
      <c r="IF166" s="8"/>
      <c r="IG166" s="8"/>
      <c r="IH166" s="8"/>
      <c r="II166" s="8"/>
      <c r="IJ166" s="8"/>
      <c r="IK166" s="8"/>
      <c r="IL166" s="8"/>
      <c r="IM166" s="8"/>
      <c r="IN166" s="8"/>
      <c r="IO166" s="8"/>
      <c r="IP166" s="8"/>
      <c r="IQ166" s="8"/>
      <c r="IR166" s="8"/>
      <c r="IS166" s="8"/>
      <c r="IT166" s="8"/>
      <c r="IU166" s="8"/>
      <c r="IV166" s="8"/>
    </row>
    <row r="167" ht="12.75" customHeight="1">
      <c r="A167" s="8"/>
      <c r="HT167" s="8"/>
      <c r="HU167" s="8"/>
      <c r="HV167" s="8"/>
      <c r="HW167" s="8"/>
      <c r="HX167" s="8"/>
      <c r="HY167" s="8"/>
      <c r="HZ167" s="8"/>
      <c r="IA167" s="8"/>
      <c r="IB167" s="8"/>
      <c r="IC167" s="8"/>
      <c r="ID167" s="8"/>
      <c r="IE167" s="8"/>
      <c r="IF167" s="8"/>
      <c r="IG167" s="8"/>
      <c r="IH167" s="8"/>
      <c r="II167" s="8"/>
      <c r="IJ167" s="8"/>
      <c r="IK167" s="8"/>
      <c r="IL167" s="8"/>
      <c r="IM167" s="8"/>
      <c r="IN167" s="8"/>
      <c r="IO167" s="8"/>
      <c r="IP167" s="8"/>
      <c r="IQ167" s="8"/>
      <c r="IR167" s="8"/>
      <c r="IS167" s="8"/>
      <c r="IT167" s="8"/>
      <c r="IU167" s="8"/>
      <c r="IV167" s="8"/>
    </row>
    <row r="168" ht="12.75" customHeight="1">
      <c r="A168" s="8"/>
      <c r="HT168" s="8"/>
      <c r="HU168" s="8"/>
      <c r="HV168" s="8"/>
      <c r="HW168" s="8"/>
      <c r="HX168" s="8"/>
      <c r="HY168" s="8"/>
      <c r="HZ168" s="8"/>
      <c r="IA168" s="8"/>
      <c r="IB168" s="8"/>
      <c r="IC168" s="8"/>
      <c r="ID168" s="8"/>
      <c r="IE168" s="8"/>
      <c r="IF168" s="8"/>
      <c r="IG168" s="8"/>
      <c r="IH168" s="8"/>
      <c r="II168" s="8"/>
      <c r="IJ168" s="8"/>
      <c r="IK168" s="8"/>
      <c r="IL168" s="8"/>
      <c r="IM168" s="8"/>
      <c r="IN168" s="8"/>
      <c r="IO168" s="8"/>
      <c r="IP168" s="8"/>
      <c r="IQ168" s="8"/>
      <c r="IR168" s="8"/>
      <c r="IS168" s="8"/>
      <c r="IT168" s="8"/>
      <c r="IU168" s="8"/>
      <c r="IV168" s="8"/>
    </row>
    <row r="169" ht="12.75" customHeight="1">
      <c r="A169" s="8"/>
      <c r="HT169" s="8"/>
      <c r="HU169" s="8"/>
      <c r="HV169" s="8"/>
      <c r="HW169" s="8"/>
      <c r="HX169" s="8"/>
      <c r="HY169" s="8"/>
      <c r="HZ169" s="8"/>
      <c r="IA169" s="8"/>
      <c r="IB169" s="8"/>
      <c r="IC169" s="8"/>
      <c r="ID169" s="8"/>
      <c r="IE169" s="8"/>
      <c r="IF169" s="8"/>
      <c r="IG169" s="8"/>
      <c r="IH169" s="8"/>
      <c r="II169" s="8"/>
      <c r="IJ169" s="8"/>
      <c r="IK169" s="8"/>
      <c r="IL169" s="8"/>
      <c r="IM169" s="8"/>
      <c r="IN169" s="8"/>
      <c r="IO169" s="8"/>
      <c r="IP169" s="8"/>
      <c r="IQ169" s="8"/>
      <c r="IR169" s="8"/>
      <c r="IS169" s="8"/>
      <c r="IT169" s="8"/>
      <c r="IU169" s="8"/>
      <c r="IV169" s="8"/>
    </row>
    <row r="170" ht="12.75" customHeight="1">
      <c r="A170" s="8"/>
      <c r="HT170" s="8"/>
      <c r="HU170" s="8"/>
      <c r="HV170" s="8"/>
      <c r="HW170" s="8"/>
      <c r="HX170" s="8"/>
      <c r="HY170" s="8"/>
      <c r="HZ170" s="8"/>
      <c r="IA170" s="8"/>
      <c r="IB170" s="8"/>
      <c r="IC170" s="8"/>
      <c r="ID170" s="8"/>
      <c r="IE170" s="8"/>
      <c r="IF170" s="8"/>
      <c r="IG170" s="8"/>
      <c r="IH170" s="8"/>
      <c r="II170" s="8"/>
      <c r="IJ170" s="8"/>
      <c r="IK170" s="8"/>
      <c r="IL170" s="8"/>
      <c r="IM170" s="8"/>
      <c r="IN170" s="8"/>
      <c r="IO170" s="8"/>
      <c r="IP170" s="8"/>
      <c r="IQ170" s="8"/>
      <c r="IR170" s="8"/>
      <c r="IS170" s="8"/>
      <c r="IT170" s="8"/>
      <c r="IU170" s="8"/>
      <c r="IV170" s="8"/>
    </row>
    <row r="171" ht="12.75" customHeight="1">
      <c r="A171" s="8"/>
      <c r="HT171" s="8"/>
      <c r="HU171" s="8"/>
      <c r="HV171" s="8"/>
      <c r="HW171" s="8"/>
      <c r="HX171" s="8"/>
      <c r="HY171" s="8"/>
      <c r="HZ171" s="8"/>
      <c r="IA171" s="8"/>
      <c r="IB171" s="8"/>
      <c r="IC171" s="8"/>
      <c r="ID171" s="8"/>
      <c r="IE171" s="8"/>
      <c r="IF171" s="8"/>
      <c r="IG171" s="8"/>
      <c r="IH171" s="8"/>
      <c r="II171" s="8"/>
      <c r="IJ171" s="8"/>
      <c r="IK171" s="8"/>
      <c r="IL171" s="8"/>
      <c r="IM171" s="8"/>
      <c r="IN171" s="8"/>
      <c r="IO171" s="8"/>
      <c r="IP171" s="8"/>
      <c r="IQ171" s="8"/>
      <c r="IR171" s="8"/>
      <c r="IS171" s="8"/>
      <c r="IT171" s="8"/>
      <c r="IU171" s="8"/>
      <c r="IV171" s="8"/>
    </row>
    <row r="172" ht="12.75" customHeight="1">
      <c r="A172" s="8"/>
      <c r="HT172" s="8"/>
      <c r="HU172" s="8"/>
      <c r="HV172" s="8"/>
      <c r="HW172" s="8"/>
      <c r="HX172" s="8"/>
      <c r="HY172" s="8"/>
      <c r="HZ172" s="8"/>
      <c r="IA172" s="8"/>
      <c r="IB172" s="8"/>
      <c r="IC172" s="8"/>
      <c r="ID172" s="8"/>
      <c r="IE172" s="8"/>
      <c r="IF172" s="8"/>
      <c r="IG172" s="8"/>
      <c r="IH172" s="8"/>
      <c r="II172" s="8"/>
      <c r="IJ172" s="8"/>
      <c r="IK172" s="8"/>
      <c r="IL172" s="8"/>
      <c r="IM172" s="8"/>
      <c r="IN172" s="8"/>
      <c r="IO172" s="8"/>
      <c r="IP172" s="8"/>
      <c r="IQ172" s="8"/>
      <c r="IR172" s="8"/>
      <c r="IS172" s="8"/>
      <c r="IT172" s="8"/>
      <c r="IU172" s="8"/>
      <c r="IV172" s="8"/>
    </row>
    <row r="173" ht="12.75" customHeight="1">
      <c r="A173" s="8"/>
      <c r="HT173" s="8"/>
      <c r="HU173" s="8"/>
      <c r="HV173" s="8"/>
      <c r="HW173" s="8"/>
      <c r="HX173" s="8"/>
      <c r="HY173" s="8"/>
      <c r="HZ173" s="8"/>
      <c r="IA173" s="8"/>
      <c r="IB173" s="8"/>
      <c r="IC173" s="8"/>
      <c r="ID173" s="8"/>
      <c r="IE173" s="8"/>
      <c r="IF173" s="8"/>
      <c r="IG173" s="8"/>
      <c r="IH173" s="8"/>
      <c r="II173" s="8"/>
      <c r="IJ173" s="8"/>
      <c r="IK173" s="8"/>
      <c r="IL173" s="8"/>
      <c r="IM173" s="8"/>
      <c r="IN173" s="8"/>
      <c r="IO173" s="8"/>
      <c r="IP173" s="8"/>
      <c r="IQ173" s="8"/>
      <c r="IR173" s="8"/>
      <c r="IS173" s="8"/>
      <c r="IT173" s="8"/>
      <c r="IU173" s="8"/>
      <c r="IV173" s="8"/>
    </row>
    <row r="174" ht="12.75" customHeight="1">
      <c r="A174" s="8"/>
      <c r="HT174" s="8"/>
      <c r="HU174" s="8"/>
      <c r="HV174" s="8"/>
      <c r="HW174" s="8"/>
      <c r="HX174" s="8"/>
      <c r="HY174" s="8"/>
      <c r="HZ174" s="8"/>
      <c r="IA174" s="8"/>
      <c r="IB174" s="8"/>
      <c r="IC174" s="8"/>
      <c r="ID174" s="8"/>
      <c r="IE174" s="8"/>
      <c r="IF174" s="8"/>
      <c r="IG174" s="8"/>
      <c r="IH174" s="8"/>
      <c r="II174" s="8"/>
      <c r="IJ174" s="8"/>
      <c r="IK174" s="8"/>
      <c r="IL174" s="8"/>
      <c r="IM174" s="8"/>
      <c r="IN174" s="8"/>
      <c r="IO174" s="8"/>
      <c r="IP174" s="8"/>
      <c r="IQ174" s="8"/>
      <c r="IR174" s="8"/>
      <c r="IS174" s="8"/>
      <c r="IT174" s="8"/>
      <c r="IU174" s="8"/>
      <c r="IV174" s="8"/>
    </row>
    <row r="175" ht="12.75" customHeight="1">
      <c r="A175" s="8"/>
      <c r="HT175" s="8"/>
      <c r="HU175" s="8"/>
      <c r="HV175" s="8"/>
      <c r="HW175" s="8"/>
      <c r="HX175" s="8"/>
      <c r="HY175" s="8"/>
      <c r="HZ175" s="8"/>
      <c r="IA175" s="8"/>
      <c r="IB175" s="8"/>
      <c r="IC175" s="8"/>
      <c r="ID175" s="8"/>
      <c r="IE175" s="8"/>
      <c r="IF175" s="8"/>
      <c r="IG175" s="8"/>
      <c r="IH175" s="8"/>
      <c r="II175" s="8"/>
      <c r="IJ175" s="8"/>
      <c r="IK175" s="8"/>
      <c r="IL175" s="8"/>
      <c r="IM175" s="8"/>
      <c r="IN175" s="8"/>
      <c r="IO175" s="8"/>
      <c r="IP175" s="8"/>
      <c r="IQ175" s="8"/>
      <c r="IR175" s="8"/>
      <c r="IS175" s="8"/>
      <c r="IT175" s="8"/>
      <c r="IU175" s="8"/>
      <c r="IV175" s="8"/>
    </row>
    <row r="176" ht="12.75" customHeight="1">
      <c r="A176" s="8"/>
      <c r="HT176" s="8"/>
      <c r="HU176" s="8"/>
      <c r="HV176" s="8"/>
      <c r="HW176" s="8"/>
      <c r="HX176" s="8"/>
      <c r="HY176" s="8"/>
      <c r="HZ176" s="8"/>
      <c r="IA176" s="8"/>
      <c r="IB176" s="8"/>
      <c r="IC176" s="8"/>
      <c r="ID176" s="8"/>
      <c r="IE176" s="8"/>
      <c r="IF176" s="8"/>
      <c r="IG176" s="8"/>
      <c r="IH176" s="8"/>
      <c r="II176" s="8"/>
      <c r="IJ176" s="8"/>
      <c r="IK176" s="8"/>
      <c r="IL176" s="8"/>
      <c r="IM176" s="8"/>
      <c r="IN176" s="8"/>
      <c r="IO176" s="8"/>
      <c r="IP176" s="8"/>
      <c r="IQ176" s="8"/>
      <c r="IR176" s="8"/>
      <c r="IS176" s="8"/>
      <c r="IT176" s="8"/>
      <c r="IU176" s="8"/>
      <c r="IV176" s="8"/>
    </row>
    <row r="177" ht="12.75" customHeight="1">
      <c r="A177" s="8"/>
      <c r="HT177" s="8"/>
      <c r="HU177" s="8"/>
      <c r="HV177" s="8"/>
      <c r="HW177" s="8"/>
      <c r="HX177" s="8"/>
      <c r="HY177" s="8"/>
      <c r="HZ177" s="8"/>
      <c r="IA177" s="8"/>
      <c r="IB177" s="8"/>
      <c r="IC177" s="8"/>
      <c r="ID177" s="8"/>
      <c r="IE177" s="8"/>
      <c r="IF177" s="8"/>
      <c r="IG177" s="8"/>
      <c r="IH177" s="8"/>
      <c r="II177" s="8"/>
      <c r="IJ177" s="8"/>
      <c r="IK177" s="8"/>
      <c r="IL177" s="8"/>
      <c r="IM177" s="8"/>
      <c r="IN177" s="8"/>
      <c r="IO177" s="8"/>
      <c r="IP177" s="8"/>
      <c r="IQ177" s="8"/>
      <c r="IR177" s="8"/>
      <c r="IS177" s="8"/>
      <c r="IT177" s="8"/>
      <c r="IU177" s="8"/>
      <c r="IV177" s="8"/>
    </row>
    <row r="178" ht="12.75" customHeight="1">
      <c r="A178" s="8"/>
      <c r="HT178" s="8"/>
      <c r="HU178" s="8"/>
      <c r="HV178" s="8"/>
      <c r="HW178" s="8"/>
      <c r="HX178" s="8"/>
      <c r="HY178" s="8"/>
      <c r="HZ178" s="8"/>
      <c r="IA178" s="8"/>
      <c r="IB178" s="8"/>
      <c r="IC178" s="8"/>
      <c r="ID178" s="8"/>
      <c r="IE178" s="8"/>
      <c r="IF178" s="8"/>
      <c r="IG178" s="8"/>
      <c r="IH178" s="8"/>
      <c r="II178" s="8"/>
      <c r="IJ178" s="8"/>
      <c r="IK178" s="8"/>
      <c r="IL178" s="8"/>
      <c r="IM178" s="8"/>
      <c r="IN178" s="8"/>
      <c r="IO178" s="8"/>
      <c r="IP178" s="8"/>
      <c r="IQ178" s="8"/>
      <c r="IR178" s="8"/>
      <c r="IS178" s="8"/>
      <c r="IT178" s="8"/>
      <c r="IU178" s="8"/>
      <c r="IV178" s="8"/>
    </row>
    <row r="179" ht="12.75" customHeight="1">
      <c r="A179" s="8"/>
      <c r="HT179" s="8"/>
      <c r="HU179" s="8"/>
      <c r="HV179" s="8"/>
      <c r="HW179" s="8"/>
      <c r="HX179" s="8"/>
      <c r="HY179" s="8"/>
      <c r="HZ179" s="8"/>
      <c r="IA179" s="8"/>
      <c r="IB179" s="8"/>
      <c r="IC179" s="8"/>
      <c r="ID179" s="8"/>
      <c r="IE179" s="8"/>
      <c r="IF179" s="8"/>
      <c r="IG179" s="8"/>
      <c r="IH179" s="8"/>
      <c r="II179" s="8"/>
      <c r="IJ179" s="8"/>
      <c r="IK179" s="8"/>
      <c r="IL179" s="8"/>
      <c r="IM179" s="8"/>
      <c r="IN179" s="8"/>
      <c r="IO179" s="8"/>
      <c r="IP179" s="8"/>
      <c r="IQ179" s="8"/>
      <c r="IR179" s="8"/>
      <c r="IS179" s="8"/>
      <c r="IT179" s="8"/>
      <c r="IU179" s="8"/>
      <c r="IV179" s="8"/>
    </row>
    <row r="180" ht="12.75" customHeight="1">
      <c r="A180" s="8"/>
      <c r="HT180" s="8"/>
      <c r="HU180" s="8"/>
      <c r="HV180" s="8"/>
      <c r="HW180" s="8"/>
      <c r="HX180" s="8"/>
      <c r="HY180" s="8"/>
      <c r="HZ180" s="8"/>
      <c r="IA180" s="8"/>
      <c r="IB180" s="8"/>
      <c r="IC180" s="8"/>
      <c r="ID180" s="8"/>
      <c r="IE180" s="8"/>
      <c r="IF180" s="8"/>
      <c r="IG180" s="8"/>
      <c r="IH180" s="8"/>
      <c r="II180" s="8"/>
      <c r="IJ180" s="8"/>
      <c r="IK180" s="8"/>
      <c r="IL180" s="8"/>
      <c r="IM180" s="8"/>
      <c r="IN180" s="8"/>
      <c r="IO180" s="8"/>
      <c r="IP180" s="8"/>
      <c r="IQ180" s="8"/>
      <c r="IR180" s="8"/>
      <c r="IS180" s="8"/>
      <c r="IT180" s="8"/>
      <c r="IU180" s="8"/>
      <c r="IV180" s="8"/>
    </row>
    <row r="181" ht="12.75" customHeight="1">
      <c r="A181" s="8"/>
      <c r="HT181" s="8"/>
      <c r="HU181" s="8"/>
      <c r="HV181" s="8"/>
      <c r="HW181" s="8"/>
      <c r="HX181" s="8"/>
      <c r="HY181" s="8"/>
      <c r="HZ181" s="8"/>
      <c r="IA181" s="8"/>
      <c r="IB181" s="8"/>
      <c r="IC181" s="8"/>
      <c r="ID181" s="8"/>
      <c r="IE181" s="8"/>
      <c r="IF181" s="8"/>
      <c r="IG181" s="8"/>
      <c r="IH181" s="8"/>
      <c r="II181" s="8"/>
      <c r="IJ181" s="8"/>
      <c r="IK181" s="8"/>
      <c r="IL181" s="8"/>
      <c r="IM181" s="8"/>
      <c r="IN181" s="8"/>
      <c r="IO181" s="8"/>
      <c r="IP181" s="8"/>
      <c r="IQ181" s="8"/>
      <c r="IR181" s="8"/>
      <c r="IS181" s="8"/>
      <c r="IT181" s="8"/>
      <c r="IU181" s="8"/>
      <c r="IV181" s="8"/>
    </row>
    <row r="182" ht="12.75" customHeight="1">
      <c r="A182" s="8"/>
      <c r="HT182" s="8"/>
      <c r="HU182" s="8"/>
      <c r="HV182" s="8"/>
      <c r="HW182" s="8"/>
      <c r="HX182" s="8"/>
      <c r="HY182" s="8"/>
      <c r="HZ182" s="8"/>
      <c r="IA182" s="8"/>
      <c r="IB182" s="8"/>
      <c r="IC182" s="8"/>
      <c r="ID182" s="8"/>
      <c r="IE182" s="8"/>
      <c r="IF182" s="8"/>
      <c r="IG182" s="8"/>
      <c r="IH182" s="8"/>
      <c r="II182" s="8"/>
      <c r="IJ182" s="8"/>
      <c r="IK182" s="8"/>
      <c r="IL182" s="8"/>
      <c r="IM182" s="8"/>
      <c r="IN182" s="8"/>
      <c r="IO182" s="8"/>
      <c r="IP182" s="8"/>
      <c r="IQ182" s="8"/>
      <c r="IR182" s="8"/>
      <c r="IS182" s="8"/>
      <c r="IT182" s="8"/>
      <c r="IU182" s="8"/>
      <c r="IV182" s="8"/>
    </row>
    <row r="183" ht="12.75" customHeight="1">
      <c r="A183" s="8"/>
      <c r="HT183" s="8"/>
      <c r="HU183" s="8"/>
      <c r="HV183" s="8"/>
      <c r="HW183" s="8"/>
      <c r="HX183" s="8"/>
      <c r="HY183" s="8"/>
      <c r="HZ183" s="8"/>
      <c r="IA183" s="8"/>
      <c r="IB183" s="8"/>
      <c r="IC183" s="8"/>
      <c r="ID183" s="8"/>
      <c r="IE183" s="8"/>
      <c r="IF183" s="8"/>
      <c r="IG183" s="8"/>
      <c r="IH183" s="8"/>
      <c r="II183" s="8"/>
      <c r="IJ183" s="8"/>
      <c r="IK183" s="8"/>
      <c r="IL183" s="8"/>
      <c r="IM183" s="8"/>
      <c r="IN183" s="8"/>
      <c r="IO183" s="8"/>
      <c r="IP183" s="8"/>
      <c r="IQ183" s="8"/>
      <c r="IR183" s="8"/>
      <c r="IS183" s="8"/>
      <c r="IT183" s="8"/>
      <c r="IU183" s="8"/>
      <c r="IV183" s="8"/>
    </row>
    <row r="184" ht="12.75" customHeight="1">
      <c r="A184" s="8"/>
      <c r="HT184" s="8"/>
      <c r="HU184" s="8"/>
      <c r="HV184" s="8"/>
      <c r="HW184" s="8"/>
      <c r="HX184" s="8"/>
      <c r="HY184" s="8"/>
      <c r="HZ184" s="8"/>
      <c r="IA184" s="8"/>
      <c r="IB184" s="8"/>
      <c r="IC184" s="8"/>
      <c r="ID184" s="8"/>
      <c r="IE184" s="8"/>
      <c r="IF184" s="8"/>
      <c r="IG184" s="8"/>
      <c r="IH184" s="8"/>
      <c r="II184" s="8"/>
      <c r="IJ184" s="8"/>
      <c r="IK184" s="8"/>
      <c r="IL184" s="8"/>
      <c r="IM184" s="8"/>
      <c r="IN184" s="8"/>
      <c r="IO184" s="8"/>
      <c r="IP184" s="8"/>
      <c r="IQ184" s="8"/>
      <c r="IR184" s="8"/>
      <c r="IS184" s="8"/>
      <c r="IT184" s="8"/>
      <c r="IU184" s="8"/>
      <c r="IV184" s="8"/>
    </row>
    <row r="185" ht="12.75" customHeight="1">
      <c r="A185" s="8"/>
      <c r="HT185" s="8"/>
      <c r="HU185" s="8"/>
      <c r="HV185" s="8"/>
      <c r="HW185" s="8"/>
      <c r="HX185" s="8"/>
      <c r="HY185" s="8"/>
      <c r="HZ185" s="8"/>
      <c r="IA185" s="8"/>
      <c r="IB185" s="8"/>
      <c r="IC185" s="8"/>
      <c r="ID185" s="8"/>
      <c r="IE185" s="8"/>
      <c r="IF185" s="8"/>
      <c r="IG185" s="8"/>
      <c r="IH185" s="8"/>
      <c r="II185" s="8"/>
      <c r="IJ185" s="8"/>
      <c r="IK185" s="8"/>
      <c r="IL185" s="8"/>
      <c r="IM185" s="8"/>
      <c r="IN185" s="8"/>
      <c r="IO185" s="8"/>
      <c r="IP185" s="8"/>
      <c r="IQ185" s="8"/>
      <c r="IR185" s="8"/>
      <c r="IS185" s="8"/>
      <c r="IT185" s="8"/>
      <c r="IU185" s="8"/>
      <c r="IV185" s="8"/>
    </row>
    <row r="186" ht="12.75" customHeight="1">
      <c r="A186" s="8"/>
      <c r="HT186" s="8"/>
      <c r="HU186" s="8"/>
      <c r="HV186" s="8"/>
      <c r="HW186" s="8"/>
      <c r="HX186" s="8"/>
      <c r="HY186" s="8"/>
      <c r="HZ186" s="8"/>
      <c r="IA186" s="8"/>
      <c r="IB186" s="8"/>
      <c r="IC186" s="8"/>
      <c r="ID186" s="8"/>
      <c r="IE186" s="8"/>
      <c r="IF186" s="8"/>
      <c r="IG186" s="8"/>
      <c r="IH186" s="8"/>
      <c r="II186" s="8"/>
      <c r="IJ186" s="8"/>
      <c r="IK186" s="8"/>
      <c r="IL186" s="8"/>
      <c r="IM186" s="8"/>
      <c r="IN186" s="8"/>
      <c r="IO186" s="8"/>
      <c r="IP186" s="8"/>
      <c r="IQ186" s="8"/>
      <c r="IR186" s="8"/>
      <c r="IS186" s="8"/>
      <c r="IT186" s="8"/>
      <c r="IU186" s="8"/>
      <c r="IV186" s="8"/>
    </row>
    <row r="187" ht="12.75" customHeight="1">
      <c r="A187" s="8"/>
      <c r="HT187" s="8"/>
      <c r="HU187" s="8"/>
      <c r="HV187" s="8"/>
      <c r="HW187" s="8"/>
      <c r="HX187" s="8"/>
      <c r="HY187" s="8"/>
      <c r="HZ187" s="8"/>
      <c r="IA187" s="8"/>
      <c r="IB187" s="8"/>
      <c r="IC187" s="8"/>
      <c r="ID187" s="8"/>
      <c r="IE187" s="8"/>
      <c r="IF187" s="8"/>
      <c r="IG187" s="8"/>
      <c r="IH187" s="8"/>
      <c r="II187" s="8"/>
      <c r="IJ187" s="8"/>
      <c r="IK187" s="8"/>
      <c r="IL187" s="8"/>
      <c r="IM187" s="8"/>
      <c r="IN187" s="8"/>
      <c r="IO187" s="8"/>
      <c r="IP187" s="8"/>
      <c r="IQ187" s="8"/>
      <c r="IR187" s="8"/>
      <c r="IS187" s="8"/>
      <c r="IT187" s="8"/>
      <c r="IU187" s="8"/>
      <c r="IV187" s="8"/>
    </row>
    <row r="188" ht="12.75" customHeight="1">
      <c r="A188" s="8"/>
      <c r="HT188" s="8"/>
      <c r="HU188" s="8"/>
      <c r="HV188" s="8"/>
      <c r="HW188" s="8"/>
      <c r="HX188" s="8"/>
      <c r="HY188" s="8"/>
      <c r="HZ188" s="8"/>
      <c r="IA188" s="8"/>
      <c r="IB188" s="8"/>
      <c r="IC188" s="8"/>
      <c r="ID188" s="8"/>
      <c r="IE188" s="8"/>
      <c r="IF188" s="8"/>
      <c r="IG188" s="8"/>
      <c r="IH188" s="8"/>
      <c r="II188" s="8"/>
      <c r="IJ188" s="8"/>
      <c r="IK188" s="8"/>
      <c r="IL188" s="8"/>
      <c r="IM188" s="8"/>
      <c r="IN188" s="8"/>
      <c r="IO188" s="8"/>
      <c r="IP188" s="8"/>
      <c r="IQ188" s="8"/>
      <c r="IR188" s="8"/>
      <c r="IS188" s="8"/>
      <c r="IT188" s="8"/>
      <c r="IU188" s="8"/>
      <c r="IV188" s="8"/>
    </row>
    <row r="189" ht="12.75" customHeight="1">
      <c r="A189" s="8"/>
      <c r="HT189" s="8"/>
      <c r="HU189" s="8"/>
      <c r="HV189" s="8"/>
      <c r="HW189" s="8"/>
      <c r="HX189" s="8"/>
      <c r="HY189" s="8"/>
      <c r="HZ189" s="8"/>
      <c r="IA189" s="8"/>
      <c r="IB189" s="8"/>
      <c r="IC189" s="8"/>
      <c r="ID189" s="8"/>
      <c r="IE189" s="8"/>
      <c r="IF189" s="8"/>
      <c r="IG189" s="8"/>
      <c r="IH189" s="8"/>
      <c r="II189" s="8"/>
      <c r="IJ189" s="8"/>
      <c r="IK189" s="8"/>
      <c r="IL189" s="8"/>
      <c r="IM189" s="8"/>
      <c r="IN189" s="8"/>
      <c r="IO189" s="8"/>
      <c r="IP189" s="8"/>
      <c r="IQ189" s="8"/>
      <c r="IR189" s="8"/>
      <c r="IS189" s="8"/>
      <c r="IT189" s="8"/>
      <c r="IU189" s="8"/>
      <c r="IV189" s="8"/>
    </row>
    <row r="190" ht="12.75" customHeight="1">
      <c r="A190" s="8"/>
      <c r="HT190" s="8"/>
      <c r="HU190" s="8"/>
      <c r="HV190" s="8"/>
      <c r="HW190" s="8"/>
      <c r="HX190" s="8"/>
      <c r="HY190" s="8"/>
      <c r="HZ190" s="8"/>
      <c r="IA190" s="8"/>
      <c r="IB190" s="8"/>
      <c r="IC190" s="8"/>
      <c r="ID190" s="8"/>
      <c r="IE190" s="8"/>
      <c r="IF190" s="8"/>
      <c r="IG190" s="8"/>
      <c r="IH190" s="8"/>
      <c r="II190" s="8"/>
      <c r="IJ190" s="8"/>
      <c r="IK190" s="8"/>
      <c r="IL190" s="8"/>
      <c r="IM190" s="8"/>
      <c r="IN190" s="8"/>
      <c r="IO190" s="8"/>
      <c r="IP190" s="8"/>
      <c r="IQ190" s="8"/>
      <c r="IR190" s="8"/>
      <c r="IS190" s="8"/>
      <c r="IT190" s="8"/>
      <c r="IU190" s="8"/>
      <c r="IV190" s="8"/>
    </row>
    <row r="191" ht="12.75" customHeight="1">
      <c r="A191" s="8"/>
      <c r="HT191" s="8"/>
      <c r="HU191" s="8"/>
      <c r="HV191" s="8"/>
      <c r="HW191" s="8"/>
      <c r="HX191" s="8"/>
      <c r="HY191" s="8"/>
      <c r="HZ191" s="8"/>
      <c r="IA191" s="8"/>
      <c r="IB191" s="8"/>
      <c r="IC191" s="8"/>
      <c r="ID191" s="8"/>
      <c r="IE191" s="8"/>
      <c r="IF191" s="8"/>
      <c r="IG191" s="8"/>
      <c r="IH191" s="8"/>
      <c r="II191" s="8"/>
      <c r="IJ191" s="8"/>
      <c r="IK191" s="8"/>
      <c r="IL191" s="8"/>
      <c r="IM191" s="8"/>
      <c r="IN191" s="8"/>
      <c r="IO191" s="8"/>
      <c r="IP191" s="8"/>
      <c r="IQ191" s="8"/>
      <c r="IR191" s="8"/>
      <c r="IS191" s="8"/>
      <c r="IT191" s="8"/>
      <c r="IU191" s="8"/>
      <c r="IV191" s="8"/>
    </row>
    <row r="192" ht="12.75" customHeight="1">
      <c r="A192" s="8"/>
      <c r="HT192" s="8"/>
      <c r="HU192" s="8"/>
      <c r="HV192" s="8"/>
      <c r="HW192" s="8"/>
      <c r="HX192" s="8"/>
      <c r="HY192" s="8"/>
      <c r="HZ192" s="8"/>
      <c r="IA192" s="8"/>
      <c r="IB192" s="8"/>
      <c r="IC192" s="8"/>
      <c r="ID192" s="8"/>
      <c r="IE192" s="8"/>
      <c r="IF192" s="8"/>
      <c r="IG192" s="8"/>
      <c r="IH192" s="8"/>
      <c r="II192" s="8"/>
      <c r="IJ192" s="8"/>
      <c r="IK192" s="8"/>
      <c r="IL192" s="8"/>
      <c r="IM192" s="8"/>
      <c r="IN192" s="8"/>
      <c r="IO192" s="8"/>
      <c r="IP192" s="8"/>
      <c r="IQ192" s="8"/>
      <c r="IR192" s="8"/>
      <c r="IS192" s="8"/>
      <c r="IT192" s="8"/>
      <c r="IU192" s="8"/>
      <c r="IV192" s="8"/>
    </row>
    <row r="193" ht="12.75" customHeight="1">
      <c r="A193" s="8"/>
      <c r="HT193" s="8"/>
      <c r="HU193" s="8"/>
      <c r="HV193" s="8"/>
      <c r="HW193" s="8"/>
      <c r="HX193" s="8"/>
      <c r="HY193" s="8"/>
      <c r="HZ193" s="8"/>
      <c r="IA193" s="8"/>
      <c r="IB193" s="8"/>
      <c r="IC193" s="8"/>
      <c r="ID193" s="8"/>
      <c r="IE193" s="8"/>
      <c r="IF193" s="8"/>
      <c r="IG193" s="8"/>
      <c r="IH193" s="8"/>
      <c r="II193" s="8"/>
      <c r="IJ193" s="8"/>
      <c r="IK193" s="8"/>
      <c r="IL193" s="8"/>
      <c r="IM193" s="8"/>
      <c r="IN193" s="8"/>
      <c r="IO193" s="8"/>
      <c r="IP193" s="8"/>
      <c r="IQ193" s="8"/>
      <c r="IR193" s="8"/>
      <c r="IS193" s="8"/>
      <c r="IT193" s="8"/>
      <c r="IU193" s="8"/>
      <c r="IV193" s="8"/>
    </row>
    <row r="194" ht="12.75" customHeight="1">
      <c r="A194" s="8"/>
      <c r="HT194" s="8"/>
      <c r="HU194" s="8"/>
      <c r="HV194" s="8"/>
      <c r="HW194" s="8"/>
      <c r="HX194" s="8"/>
      <c r="HY194" s="8"/>
      <c r="HZ194" s="8"/>
      <c r="IA194" s="8"/>
      <c r="IB194" s="8"/>
      <c r="IC194" s="8"/>
      <c r="ID194" s="8"/>
      <c r="IE194" s="8"/>
      <c r="IF194" s="8"/>
      <c r="IG194" s="8"/>
      <c r="IH194" s="8"/>
      <c r="II194" s="8"/>
      <c r="IJ194" s="8"/>
      <c r="IK194" s="8"/>
      <c r="IL194" s="8"/>
      <c r="IM194" s="8"/>
      <c r="IN194" s="8"/>
      <c r="IO194" s="8"/>
      <c r="IP194" s="8"/>
      <c r="IQ194" s="8"/>
      <c r="IR194" s="8"/>
      <c r="IS194" s="8"/>
      <c r="IT194" s="8"/>
      <c r="IU194" s="8"/>
      <c r="IV194" s="8"/>
    </row>
    <row r="195" ht="12.75" customHeight="1">
      <c r="A195" s="8"/>
      <c r="HT195" s="8"/>
      <c r="HU195" s="8"/>
      <c r="HV195" s="8"/>
      <c r="HW195" s="8"/>
      <c r="HX195" s="8"/>
      <c r="HY195" s="8"/>
      <c r="HZ195" s="8"/>
      <c r="IA195" s="8"/>
      <c r="IB195" s="8"/>
      <c r="IC195" s="8"/>
      <c r="ID195" s="8"/>
      <c r="IE195" s="8"/>
      <c r="IF195" s="8"/>
      <c r="IG195" s="8"/>
      <c r="IH195" s="8"/>
      <c r="II195" s="8"/>
      <c r="IJ195" s="8"/>
      <c r="IK195" s="8"/>
      <c r="IL195" s="8"/>
      <c r="IM195" s="8"/>
      <c r="IN195" s="8"/>
      <c r="IO195" s="8"/>
      <c r="IP195" s="8"/>
      <c r="IQ195" s="8"/>
      <c r="IR195" s="8"/>
      <c r="IS195" s="8"/>
      <c r="IT195" s="8"/>
      <c r="IU195" s="8"/>
      <c r="IV195" s="8"/>
    </row>
    <row r="196" ht="12.75" customHeight="1">
      <c r="A196" s="8"/>
      <c r="HT196" s="8"/>
      <c r="HU196" s="8"/>
      <c r="HV196" s="8"/>
      <c r="HW196" s="8"/>
      <c r="HX196" s="8"/>
      <c r="HY196" s="8"/>
      <c r="HZ196" s="8"/>
      <c r="IA196" s="8"/>
      <c r="IB196" s="8"/>
      <c r="IC196" s="8"/>
      <c r="ID196" s="8"/>
      <c r="IE196" s="8"/>
      <c r="IF196" s="8"/>
      <c r="IG196" s="8"/>
      <c r="IH196" s="8"/>
      <c r="II196" s="8"/>
      <c r="IJ196" s="8"/>
      <c r="IK196" s="8"/>
      <c r="IL196" s="8"/>
      <c r="IM196" s="8"/>
      <c r="IN196" s="8"/>
      <c r="IO196" s="8"/>
      <c r="IP196" s="8"/>
      <c r="IQ196" s="8"/>
      <c r="IR196" s="8"/>
      <c r="IS196" s="8"/>
      <c r="IT196" s="8"/>
      <c r="IU196" s="8"/>
      <c r="IV196" s="8"/>
    </row>
    <row r="197" ht="12.75" customHeight="1">
      <c r="A197" s="8"/>
      <c r="HT197" s="8"/>
      <c r="HU197" s="8"/>
      <c r="HV197" s="8"/>
      <c r="HW197" s="8"/>
      <c r="HX197" s="8"/>
      <c r="HY197" s="8"/>
      <c r="HZ197" s="8"/>
      <c r="IA197" s="8"/>
      <c r="IB197" s="8"/>
      <c r="IC197" s="8"/>
      <c r="ID197" s="8"/>
      <c r="IE197" s="8"/>
      <c r="IF197" s="8"/>
      <c r="IG197" s="8"/>
      <c r="IH197" s="8"/>
      <c r="II197" s="8"/>
      <c r="IJ197" s="8"/>
      <c r="IK197" s="8"/>
      <c r="IL197" s="8"/>
      <c r="IM197" s="8"/>
      <c r="IN197" s="8"/>
      <c r="IO197" s="8"/>
      <c r="IP197" s="8"/>
      <c r="IQ197" s="8"/>
      <c r="IR197" s="8"/>
      <c r="IS197" s="8"/>
      <c r="IT197" s="8"/>
      <c r="IU197" s="8"/>
      <c r="IV197" s="8"/>
    </row>
    <row r="198" ht="12.75" customHeight="1">
      <c r="A198" s="8"/>
      <c r="HT198" s="8"/>
      <c r="HU198" s="8"/>
      <c r="HV198" s="8"/>
      <c r="HW198" s="8"/>
      <c r="HX198" s="8"/>
      <c r="HY198" s="8"/>
      <c r="HZ198" s="8"/>
      <c r="IA198" s="8"/>
      <c r="IB198" s="8"/>
      <c r="IC198" s="8"/>
      <c r="ID198" s="8"/>
      <c r="IE198" s="8"/>
      <c r="IF198" s="8"/>
      <c r="IG198" s="8"/>
      <c r="IH198" s="8"/>
      <c r="II198" s="8"/>
      <c r="IJ198" s="8"/>
      <c r="IK198" s="8"/>
      <c r="IL198" s="8"/>
      <c r="IM198" s="8"/>
      <c r="IN198" s="8"/>
      <c r="IO198" s="8"/>
      <c r="IP198" s="8"/>
      <c r="IQ198" s="8"/>
      <c r="IR198" s="8"/>
      <c r="IS198" s="8"/>
      <c r="IT198" s="8"/>
      <c r="IU198" s="8"/>
      <c r="IV198" s="8"/>
    </row>
    <row r="199" ht="12.75" customHeight="1">
      <c r="A199" s="8"/>
      <c r="HT199" s="8"/>
      <c r="HU199" s="8"/>
      <c r="HV199" s="8"/>
      <c r="HW199" s="8"/>
      <c r="HX199" s="8"/>
      <c r="HY199" s="8"/>
      <c r="HZ199" s="8"/>
      <c r="IA199" s="8"/>
      <c r="IB199" s="8"/>
      <c r="IC199" s="8"/>
      <c r="ID199" s="8"/>
      <c r="IE199" s="8"/>
      <c r="IF199" s="8"/>
      <c r="IG199" s="8"/>
      <c r="IH199" s="8"/>
      <c r="II199" s="8"/>
      <c r="IJ199" s="8"/>
      <c r="IK199" s="8"/>
      <c r="IL199" s="8"/>
      <c r="IM199" s="8"/>
      <c r="IN199" s="8"/>
      <c r="IO199" s="8"/>
      <c r="IP199" s="8"/>
      <c r="IQ199" s="8"/>
      <c r="IR199" s="8"/>
      <c r="IS199" s="8"/>
      <c r="IT199" s="8"/>
      <c r="IU199" s="8"/>
      <c r="IV199" s="8"/>
    </row>
    <row r="200" ht="12.75" customHeight="1">
      <c r="A200" s="8"/>
      <c r="HT200" s="8"/>
      <c r="HU200" s="8"/>
      <c r="HV200" s="8"/>
      <c r="HW200" s="8"/>
      <c r="HX200" s="8"/>
      <c r="HY200" s="8"/>
      <c r="HZ200" s="8"/>
      <c r="IA200" s="8"/>
      <c r="IB200" s="8"/>
      <c r="IC200" s="8"/>
      <c r="ID200" s="8"/>
      <c r="IE200" s="8"/>
      <c r="IF200" s="8"/>
      <c r="IG200" s="8"/>
      <c r="IH200" s="8"/>
      <c r="II200" s="8"/>
      <c r="IJ200" s="8"/>
      <c r="IK200" s="8"/>
      <c r="IL200" s="8"/>
      <c r="IM200" s="8"/>
      <c r="IN200" s="8"/>
      <c r="IO200" s="8"/>
      <c r="IP200" s="8"/>
      <c r="IQ200" s="8"/>
      <c r="IR200" s="8"/>
      <c r="IS200" s="8"/>
      <c r="IT200" s="8"/>
      <c r="IU200" s="8"/>
      <c r="IV200" s="8"/>
    </row>
    <row r="201" ht="12.75" customHeight="1">
      <c r="A201" s="8"/>
      <c r="HT201" s="8"/>
      <c r="HU201" s="8"/>
      <c r="HV201" s="8"/>
      <c r="HW201" s="8"/>
      <c r="HX201" s="8"/>
      <c r="HY201" s="8"/>
      <c r="HZ201" s="8"/>
      <c r="IA201" s="8"/>
      <c r="IB201" s="8"/>
      <c r="IC201" s="8"/>
      <c r="ID201" s="8"/>
      <c r="IE201" s="8"/>
      <c r="IF201" s="8"/>
      <c r="IG201" s="8"/>
      <c r="IH201" s="8"/>
      <c r="II201" s="8"/>
      <c r="IJ201" s="8"/>
      <c r="IK201" s="8"/>
      <c r="IL201" s="8"/>
      <c r="IM201" s="8"/>
      <c r="IN201" s="8"/>
      <c r="IO201" s="8"/>
      <c r="IP201" s="8"/>
      <c r="IQ201" s="8"/>
      <c r="IR201" s="8"/>
      <c r="IS201" s="8"/>
      <c r="IT201" s="8"/>
      <c r="IU201" s="8"/>
      <c r="IV201" s="8"/>
    </row>
    <row r="202" ht="12.75" customHeight="1">
      <c r="A202" s="8"/>
      <c r="HT202" s="8"/>
      <c r="HU202" s="8"/>
      <c r="HV202" s="8"/>
      <c r="HW202" s="8"/>
      <c r="HX202" s="8"/>
      <c r="HY202" s="8"/>
      <c r="HZ202" s="8"/>
      <c r="IA202" s="8"/>
      <c r="IB202" s="8"/>
      <c r="IC202" s="8"/>
      <c r="ID202" s="8"/>
      <c r="IE202" s="8"/>
      <c r="IF202" s="8"/>
      <c r="IG202" s="8"/>
      <c r="IH202" s="8"/>
      <c r="II202" s="8"/>
      <c r="IJ202" s="8"/>
      <c r="IK202" s="8"/>
      <c r="IL202" s="8"/>
      <c r="IM202" s="8"/>
      <c r="IN202" s="8"/>
      <c r="IO202" s="8"/>
      <c r="IP202" s="8"/>
      <c r="IQ202" s="8"/>
      <c r="IR202" s="8"/>
      <c r="IS202" s="8"/>
      <c r="IT202" s="8"/>
      <c r="IU202" s="8"/>
      <c r="IV202" s="8"/>
    </row>
    <row r="203" ht="12.75" customHeight="1">
      <c r="A203" s="8"/>
      <c r="HT203" s="8"/>
      <c r="HU203" s="8"/>
      <c r="HV203" s="8"/>
      <c r="HW203" s="8"/>
      <c r="HX203" s="8"/>
      <c r="HY203" s="8"/>
      <c r="HZ203" s="8"/>
      <c r="IA203" s="8"/>
      <c r="IB203" s="8"/>
      <c r="IC203" s="8"/>
      <c r="ID203" s="8"/>
      <c r="IE203" s="8"/>
      <c r="IF203" s="8"/>
      <c r="IG203" s="8"/>
      <c r="IH203" s="8"/>
      <c r="II203" s="8"/>
      <c r="IJ203" s="8"/>
      <c r="IK203" s="8"/>
      <c r="IL203" s="8"/>
      <c r="IM203" s="8"/>
      <c r="IN203" s="8"/>
      <c r="IO203" s="8"/>
      <c r="IP203" s="8"/>
      <c r="IQ203" s="8"/>
      <c r="IR203" s="8"/>
      <c r="IS203" s="8"/>
      <c r="IT203" s="8"/>
      <c r="IU203" s="8"/>
      <c r="IV203" s="8"/>
    </row>
    <row r="204" ht="12.75" customHeight="1">
      <c r="A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row>
    <row r="205" ht="12.75" customHeight="1">
      <c r="A205" s="8"/>
      <c r="HT205" s="8"/>
      <c r="HU205" s="8"/>
      <c r="HV205" s="8"/>
      <c r="HW205" s="8"/>
      <c r="HX205" s="8"/>
      <c r="HY205" s="8"/>
      <c r="HZ205" s="8"/>
      <c r="IA205" s="8"/>
      <c r="IB205" s="8"/>
      <c r="IC205" s="8"/>
      <c r="ID205" s="8"/>
      <c r="IE205" s="8"/>
      <c r="IF205" s="8"/>
      <c r="IG205" s="8"/>
      <c r="IH205" s="8"/>
      <c r="II205" s="8"/>
      <c r="IJ205" s="8"/>
      <c r="IK205" s="8"/>
      <c r="IL205" s="8"/>
      <c r="IM205" s="8"/>
      <c r="IN205" s="8"/>
      <c r="IO205" s="8"/>
      <c r="IP205" s="8"/>
      <c r="IQ205" s="8"/>
      <c r="IR205" s="8"/>
      <c r="IS205" s="8"/>
      <c r="IT205" s="8"/>
      <c r="IU205" s="8"/>
      <c r="IV205" s="8"/>
    </row>
    <row r="206" ht="12.75" customHeight="1">
      <c r="A206" s="8"/>
      <c r="HT206" s="8"/>
      <c r="HU206" s="8"/>
      <c r="HV206" s="8"/>
      <c r="HW206" s="8"/>
      <c r="HX206" s="8"/>
      <c r="HY206" s="8"/>
      <c r="HZ206" s="8"/>
      <c r="IA206" s="8"/>
      <c r="IB206" s="8"/>
      <c r="IC206" s="8"/>
      <c r="ID206" s="8"/>
      <c r="IE206" s="8"/>
      <c r="IF206" s="8"/>
      <c r="IG206" s="8"/>
      <c r="IH206" s="8"/>
      <c r="II206" s="8"/>
      <c r="IJ206" s="8"/>
      <c r="IK206" s="8"/>
      <c r="IL206" s="8"/>
      <c r="IM206" s="8"/>
      <c r="IN206" s="8"/>
      <c r="IO206" s="8"/>
      <c r="IP206" s="8"/>
      <c r="IQ206" s="8"/>
      <c r="IR206" s="8"/>
      <c r="IS206" s="8"/>
      <c r="IT206" s="8"/>
      <c r="IU206" s="8"/>
      <c r="IV206" s="8"/>
    </row>
    <row r="207" ht="12.75" customHeight="1">
      <c r="A207" s="8"/>
      <c r="HT207" s="8"/>
      <c r="HU207" s="8"/>
      <c r="HV207" s="8"/>
      <c r="HW207" s="8"/>
      <c r="HX207" s="8"/>
      <c r="HY207" s="8"/>
      <c r="HZ207" s="8"/>
      <c r="IA207" s="8"/>
      <c r="IB207" s="8"/>
      <c r="IC207" s="8"/>
      <c r="ID207" s="8"/>
      <c r="IE207" s="8"/>
      <c r="IF207" s="8"/>
      <c r="IG207" s="8"/>
      <c r="IH207" s="8"/>
      <c r="II207" s="8"/>
      <c r="IJ207" s="8"/>
      <c r="IK207" s="8"/>
      <c r="IL207" s="8"/>
      <c r="IM207" s="8"/>
      <c r="IN207" s="8"/>
      <c r="IO207" s="8"/>
      <c r="IP207" s="8"/>
      <c r="IQ207" s="8"/>
      <c r="IR207" s="8"/>
      <c r="IS207" s="8"/>
      <c r="IT207" s="8"/>
      <c r="IU207" s="8"/>
      <c r="IV207" s="8"/>
    </row>
    <row r="208" ht="12.75" customHeight="1">
      <c r="A208" s="8"/>
      <c r="HT208" s="8"/>
      <c r="HU208" s="8"/>
      <c r="HV208" s="8"/>
      <c r="HW208" s="8"/>
      <c r="HX208" s="8"/>
      <c r="HY208" s="8"/>
      <c r="HZ208" s="8"/>
      <c r="IA208" s="8"/>
      <c r="IB208" s="8"/>
      <c r="IC208" s="8"/>
      <c r="ID208" s="8"/>
      <c r="IE208" s="8"/>
      <c r="IF208" s="8"/>
      <c r="IG208" s="8"/>
      <c r="IH208" s="8"/>
      <c r="II208" s="8"/>
      <c r="IJ208" s="8"/>
      <c r="IK208" s="8"/>
      <c r="IL208" s="8"/>
      <c r="IM208" s="8"/>
      <c r="IN208" s="8"/>
      <c r="IO208" s="8"/>
      <c r="IP208" s="8"/>
      <c r="IQ208" s="8"/>
      <c r="IR208" s="8"/>
      <c r="IS208" s="8"/>
      <c r="IT208" s="8"/>
      <c r="IU208" s="8"/>
      <c r="IV208" s="8"/>
    </row>
    <row r="209" ht="12.75" customHeight="1">
      <c r="A209" s="8"/>
      <c r="HT209" s="8"/>
      <c r="HU209" s="8"/>
      <c r="HV209" s="8"/>
      <c r="HW209" s="8"/>
      <c r="HX209" s="8"/>
      <c r="HY209" s="8"/>
      <c r="HZ209" s="8"/>
      <c r="IA209" s="8"/>
      <c r="IB209" s="8"/>
      <c r="IC209" s="8"/>
      <c r="ID209" s="8"/>
      <c r="IE209" s="8"/>
      <c r="IF209" s="8"/>
      <c r="IG209" s="8"/>
      <c r="IH209" s="8"/>
      <c r="II209" s="8"/>
      <c r="IJ209" s="8"/>
      <c r="IK209" s="8"/>
      <c r="IL209" s="8"/>
      <c r="IM209" s="8"/>
      <c r="IN209" s="8"/>
      <c r="IO209" s="8"/>
      <c r="IP209" s="8"/>
      <c r="IQ209" s="8"/>
      <c r="IR209" s="8"/>
      <c r="IS209" s="8"/>
      <c r="IT209" s="8"/>
      <c r="IU209" s="8"/>
      <c r="IV209" s="8"/>
    </row>
    <row r="210" ht="12.75" customHeight="1">
      <c r="A210" s="8"/>
      <c r="HT210" s="8"/>
      <c r="HU210" s="8"/>
      <c r="HV210" s="8"/>
      <c r="HW210" s="8"/>
      <c r="HX210" s="8"/>
      <c r="HY210" s="8"/>
      <c r="HZ210" s="8"/>
      <c r="IA210" s="8"/>
      <c r="IB210" s="8"/>
      <c r="IC210" s="8"/>
      <c r="ID210" s="8"/>
      <c r="IE210" s="8"/>
      <c r="IF210" s="8"/>
      <c r="IG210" s="8"/>
      <c r="IH210" s="8"/>
      <c r="II210" s="8"/>
      <c r="IJ210" s="8"/>
      <c r="IK210" s="8"/>
      <c r="IL210" s="8"/>
      <c r="IM210" s="8"/>
      <c r="IN210" s="8"/>
      <c r="IO210" s="8"/>
      <c r="IP210" s="8"/>
      <c r="IQ210" s="8"/>
      <c r="IR210" s="8"/>
      <c r="IS210" s="8"/>
      <c r="IT210" s="8"/>
      <c r="IU210" s="8"/>
      <c r="IV210" s="8"/>
    </row>
    <row r="211" ht="12.75" customHeight="1">
      <c r="A211" s="8"/>
      <c r="HT211" s="8"/>
      <c r="HU211" s="8"/>
      <c r="HV211" s="8"/>
      <c r="HW211" s="8"/>
      <c r="HX211" s="8"/>
      <c r="HY211" s="8"/>
      <c r="HZ211" s="8"/>
      <c r="IA211" s="8"/>
      <c r="IB211" s="8"/>
      <c r="IC211" s="8"/>
      <c r="ID211" s="8"/>
      <c r="IE211" s="8"/>
      <c r="IF211" s="8"/>
      <c r="IG211" s="8"/>
      <c r="IH211" s="8"/>
      <c r="II211" s="8"/>
      <c r="IJ211" s="8"/>
      <c r="IK211" s="8"/>
      <c r="IL211" s="8"/>
      <c r="IM211" s="8"/>
      <c r="IN211" s="8"/>
      <c r="IO211" s="8"/>
      <c r="IP211" s="8"/>
      <c r="IQ211" s="8"/>
      <c r="IR211" s="8"/>
      <c r="IS211" s="8"/>
      <c r="IT211" s="8"/>
      <c r="IU211" s="8"/>
      <c r="IV211" s="8"/>
    </row>
    <row r="212" ht="12.75" customHeight="1">
      <c r="A212" s="8"/>
      <c r="HT212" s="8"/>
      <c r="HU212" s="8"/>
      <c r="HV212" s="8"/>
      <c r="HW212" s="8"/>
      <c r="HX212" s="8"/>
      <c r="HY212" s="8"/>
      <c r="HZ212" s="8"/>
      <c r="IA212" s="8"/>
      <c r="IB212" s="8"/>
      <c r="IC212" s="8"/>
      <c r="ID212" s="8"/>
      <c r="IE212" s="8"/>
      <c r="IF212" s="8"/>
      <c r="IG212" s="8"/>
      <c r="IH212" s="8"/>
      <c r="II212" s="8"/>
      <c r="IJ212" s="8"/>
      <c r="IK212" s="8"/>
      <c r="IL212" s="8"/>
      <c r="IM212" s="8"/>
      <c r="IN212" s="8"/>
      <c r="IO212" s="8"/>
      <c r="IP212" s="8"/>
      <c r="IQ212" s="8"/>
      <c r="IR212" s="8"/>
      <c r="IS212" s="8"/>
      <c r="IT212" s="8"/>
      <c r="IU212" s="8"/>
      <c r="IV212" s="8"/>
    </row>
    <row r="213" ht="12.75" customHeight="1">
      <c r="A213" s="8"/>
      <c r="HT213" s="8"/>
      <c r="HU213" s="8"/>
      <c r="HV213" s="8"/>
      <c r="HW213" s="8"/>
      <c r="HX213" s="8"/>
      <c r="HY213" s="8"/>
      <c r="HZ213" s="8"/>
      <c r="IA213" s="8"/>
      <c r="IB213" s="8"/>
      <c r="IC213" s="8"/>
      <c r="ID213" s="8"/>
      <c r="IE213" s="8"/>
      <c r="IF213" s="8"/>
      <c r="IG213" s="8"/>
      <c r="IH213" s="8"/>
      <c r="II213" s="8"/>
      <c r="IJ213" s="8"/>
      <c r="IK213" s="8"/>
      <c r="IL213" s="8"/>
      <c r="IM213" s="8"/>
      <c r="IN213" s="8"/>
      <c r="IO213" s="8"/>
      <c r="IP213" s="8"/>
      <c r="IQ213" s="8"/>
      <c r="IR213" s="8"/>
      <c r="IS213" s="8"/>
      <c r="IT213" s="8"/>
      <c r="IU213" s="8"/>
      <c r="IV213" s="8"/>
    </row>
    <row r="214" ht="12.75" customHeight="1">
      <c r="A214" s="8"/>
      <c r="HT214" s="8"/>
      <c r="HU214" s="8"/>
      <c r="HV214" s="8"/>
      <c r="HW214" s="8"/>
      <c r="HX214" s="8"/>
      <c r="HY214" s="8"/>
      <c r="HZ214" s="8"/>
      <c r="IA214" s="8"/>
      <c r="IB214" s="8"/>
      <c r="IC214" s="8"/>
      <c r="ID214" s="8"/>
      <c r="IE214" s="8"/>
      <c r="IF214" s="8"/>
      <c r="IG214" s="8"/>
      <c r="IH214" s="8"/>
      <c r="II214" s="8"/>
      <c r="IJ214" s="8"/>
      <c r="IK214" s="8"/>
      <c r="IL214" s="8"/>
      <c r="IM214" s="8"/>
      <c r="IN214" s="8"/>
      <c r="IO214" s="8"/>
      <c r="IP214" s="8"/>
      <c r="IQ214" s="8"/>
      <c r="IR214" s="8"/>
      <c r="IS214" s="8"/>
      <c r="IT214" s="8"/>
      <c r="IU214" s="8"/>
      <c r="IV214" s="8"/>
    </row>
    <row r="215" ht="12.75" customHeight="1">
      <c r="A215" s="8"/>
      <c r="HT215" s="8"/>
      <c r="HU215" s="8"/>
      <c r="HV215" s="8"/>
      <c r="HW215" s="8"/>
      <c r="HX215" s="8"/>
      <c r="HY215" s="8"/>
      <c r="HZ215" s="8"/>
      <c r="IA215" s="8"/>
      <c r="IB215" s="8"/>
      <c r="IC215" s="8"/>
      <c r="ID215" s="8"/>
      <c r="IE215" s="8"/>
      <c r="IF215" s="8"/>
      <c r="IG215" s="8"/>
      <c r="IH215" s="8"/>
      <c r="II215" s="8"/>
      <c r="IJ215" s="8"/>
      <c r="IK215" s="8"/>
      <c r="IL215" s="8"/>
      <c r="IM215" s="8"/>
      <c r="IN215" s="8"/>
      <c r="IO215" s="8"/>
      <c r="IP215" s="8"/>
      <c r="IQ215" s="8"/>
      <c r="IR215" s="8"/>
      <c r="IS215" s="8"/>
      <c r="IT215" s="8"/>
      <c r="IU215" s="8"/>
      <c r="IV215" s="8"/>
    </row>
    <row r="216" ht="12.75" customHeight="1">
      <c r="A216" s="8"/>
      <c r="HT216" s="8"/>
      <c r="HU216" s="8"/>
      <c r="HV216" s="8"/>
      <c r="HW216" s="8"/>
      <c r="HX216" s="8"/>
      <c r="HY216" s="8"/>
      <c r="HZ216" s="8"/>
      <c r="IA216" s="8"/>
      <c r="IB216" s="8"/>
      <c r="IC216" s="8"/>
      <c r="ID216" s="8"/>
      <c r="IE216" s="8"/>
      <c r="IF216" s="8"/>
      <c r="IG216" s="8"/>
      <c r="IH216" s="8"/>
      <c r="II216" s="8"/>
      <c r="IJ216" s="8"/>
      <c r="IK216" s="8"/>
      <c r="IL216" s="8"/>
      <c r="IM216" s="8"/>
      <c r="IN216" s="8"/>
      <c r="IO216" s="8"/>
      <c r="IP216" s="8"/>
      <c r="IQ216" s="8"/>
      <c r="IR216" s="8"/>
      <c r="IS216" s="8"/>
      <c r="IT216" s="8"/>
      <c r="IU216" s="8"/>
      <c r="IV216" s="8"/>
    </row>
    <row r="217" ht="12.75" customHeight="1">
      <c r="A217" s="8"/>
      <c r="HT217" s="8"/>
      <c r="HU217" s="8"/>
      <c r="HV217" s="8"/>
      <c r="HW217" s="8"/>
      <c r="HX217" s="8"/>
      <c r="HY217" s="8"/>
      <c r="HZ217" s="8"/>
      <c r="IA217" s="8"/>
      <c r="IB217" s="8"/>
      <c r="IC217" s="8"/>
      <c r="ID217" s="8"/>
      <c r="IE217" s="8"/>
      <c r="IF217" s="8"/>
      <c r="IG217" s="8"/>
      <c r="IH217" s="8"/>
      <c r="II217" s="8"/>
      <c r="IJ217" s="8"/>
      <c r="IK217" s="8"/>
      <c r="IL217" s="8"/>
      <c r="IM217" s="8"/>
      <c r="IN217" s="8"/>
      <c r="IO217" s="8"/>
      <c r="IP217" s="8"/>
      <c r="IQ217" s="8"/>
      <c r="IR217" s="8"/>
      <c r="IS217" s="8"/>
      <c r="IT217" s="8"/>
      <c r="IU217" s="8"/>
      <c r="IV217" s="8"/>
    </row>
    <row r="218" ht="12.75" customHeight="1">
      <c r="A218" s="8"/>
      <c r="HT218" s="8"/>
      <c r="HU218" s="8"/>
      <c r="HV218" s="8"/>
      <c r="HW218" s="8"/>
      <c r="HX218" s="8"/>
      <c r="HY218" s="8"/>
      <c r="HZ218" s="8"/>
      <c r="IA218" s="8"/>
      <c r="IB218" s="8"/>
      <c r="IC218" s="8"/>
      <c r="ID218" s="8"/>
      <c r="IE218" s="8"/>
      <c r="IF218" s="8"/>
      <c r="IG218" s="8"/>
      <c r="IH218" s="8"/>
      <c r="II218" s="8"/>
      <c r="IJ218" s="8"/>
      <c r="IK218" s="8"/>
      <c r="IL218" s="8"/>
      <c r="IM218" s="8"/>
      <c r="IN218" s="8"/>
      <c r="IO218" s="8"/>
      <c r="IP218" s="8"/>
      <c r="IQ218" s="8"/>
      <c r="IR218" s="8"/>
      <c r="IS218" s="8"/>
      <c r="IT218" s="8"/>
      <c r="IU218" s="8"/>
      <c r="IV218" s="8"/>
    </row>
    <row r="219" ht="12.75" customHeight="1">
      <c r="A219" s="8"/>
      <c r="HT219" s="8"/>
      <c r="HU219" s="8"/>
      <c r="HV219" s="8"/>
      <c r="HW219" s="8"/>
      <c r="HX219" s="8"/>
      <c r="HY219" s="8"/>
      <c r="HZ219" s="8"/>
      <c r="IA219" s="8"/>
      <c r="IB219" s="8"/>
      <c r="IC219" s="8"/>
      <c r="ID219" s="8"/>
      <c r="IE219" s="8"/>
      <c r="IF219" s="8"/>
      <c r="IG219" s="8"/>
      <c r="IH219" s="8"/>
      <c r="II219" s="8"/>
      <c r="IJ219" s="8"/>
      <c r="IK219" s="8"/>
      <c r="IL219" s="8"/>
      <c r="IM219" s="8"/>
      <c r="IN219" s="8"/>
      <c r="IO219" s="8"/>
      <c r="IP219" s="8"/>
      <c r="IQ219" s="8"/>
      <c r="IR219" s="8"/>
      <c r="IS219" s="8"/>
      <c r="IT219" s="8"/>
      <c r="IU219" s="8"/>
      <c r="IV219" s="8"/>
    </row>
    <row r="220" ht="12.75" customHeight="1">
      <c r="A220" s="8"/>
      <c r="HT220" s="8"/>
      <c r="HU220" s="8"/>
      <c r="HV220" s="8"/>
      <c r="HW220" s="8"/>
      <c r="HX220" s="8"/>
      <c r="HY220" s="8"/>
      <c r="HZ220" s="8"/>
      <c r="IA220" s="8"/>
      <c r="IB220" s="8"/>
      <c r="IC220" s="8"/>
      <c r="ID220" s="8"/>
      <c r="IE220" s="8"/>
      <c r="IF220" s="8"/>
      <c r="IG220" s="8"/>
      <c r="IH220" s="8"/>
      <c r="II220" s="8"/>
      <c r="IJ220" s="8"/>
      <c r="IK220" s="8"/>
      <c r="IL220" s="8"/>
      <c r="IM220" s="8"/>
      <c r="IN220" s="8"/>
      <c r="IO220" s="8"/>
      <c r="IP220" s="8"/>
      <c r="IQ220" s="8"/>
      <c r="IR220" s="8"/>
      <c r="IS220" s="8"/>
      <c r="IT220" s="8"/>
      <c r="IU220" s="8"/>
      <c r="IV220" s="8"/>
    </row>
    <row r="221" ht="12.75" customHeight="1">
      <c r="A221" s="8"/>
      <c r="HT221" s="8"/>
      <c r="HU221" s="8"/>
      <c r="HV221" s="8"/>
      <c r="HW221" s="8"/>
      <c r="HX221" s="8"/>
      <c r="HY221" s="8"/>
      <c r="HZ221" s="8"/>
      <c r="IA221" s="8"/>
      <c r="IB221" s="8"/>
      <c r="IC221" s="8"/>
      <c r="ID221" s="8"/>
      <c r="IE221" s="8"/>
      <c r="IF221" s="8"/>
      <c r="IG221" s="8"/>
      <c r="IH221" s="8"/>
      <c r="II221" s="8"/>
      <c r="IJ221" s="8"/>
      <c r="IK221" s="8"/>
      <c r="IL221" s="8"/>
      <c r="IM221" s="8"/>
      <c r="IN221" s="8"/>
      <c r="IO221" s="8"/>
      <c r="IP221" s="8"/>
      <c r="IQ221" s="8"/>
      <c r="IR221" s="8"/>
      <c r="IS221" s="8"/>
      <c r="IT221" s="8"/>
      <c r="IU221" s="8"/>
      <c r="IV221" s="8"/>
    </row>
    <row r="222" ht="12.75" customHeight="1">
      <c r="A222" s="8"/>
      <c r="HT222" s="8"/>
      <c r="HU222" s="8"/>
      <c r="HV222" s="8"/>
      <c r="HW222" s="8"/>
      <c r="HX222" s="8"/>
      <c r="HY222" s="8"/>
      <c r="HZ222" s="8"/>
      <c r="IA222" s="8"/>
      <c r="IB222" s="8"/>
      <c r="IC222" s="8"/>
      <c r="ID222" s="8"/>
      <c r="IE222" s="8"/>
      <c r="IF222" s="8"/>
      <c r="IG222" s="8"/>
      <c r="IH222" s="8"/>
      <c r="II222" s="8"/>
      <c r="IJ222" s="8"/>
      <c r="IK222" s="8"/>
      <c r="IL222" s="8"/>
      <c r="IM222" s="8"/>
      <c r="IN222" s="8"/>
      <c r="IO222" s="8"/>
      <c r="IP222" s="8"/>
      <c r="IQ222" s="8"/>
      <c r="IR222" s="8"/>
      <c r="IS222" s="8"/>
      <c r="IT222" s="8"/>
      <c r="IU222" s="8"/>
      <c r="IV222" s="8"/>
    </row>
    <row r="223" ht="12.75" customHeight="1">
      <c r="A223" s="8"/>
      <c r="HT223" s="8"/>
      <c r="HU223" s="8"/>
      <c r="HV223" s="8"/>
      <c r="HW223" s="8"/>
      <c r="HX223" s="8"/>
      <c r="HY223" s="8"/>
      <c r="HZ223" s="8"/>
      <c r="IA223" s="8"/>
      <c r="IB223" s="8"/>
      <c r="IC223" s="8"/>
      <c r="ID223" s="8"/>
      <c r="IE223" s="8"/>
      <c r="IF223" s="8"/>
      <c r="IG223" s="8"/>
      <c r="IH223" s="8"/>
      <c r="II223" s="8"/>
      <c r="IJ223" s="8"/>
      <c r="IK223" s="8"/>
      <c r="IL223" s="8"/>
      <c r="IM223" s="8"/>
      <c r="IN223" s="8"/>
      <c r="IO223" s="8"/>
      <c r="IP223" s="8"/>
      <c r="IQ223" s="8"/>
      <c r="IR223" s="8"/>
      <c r="IS223" s="8"/>
      <c r="IT223" s="8"/>
      <c r="IU223" s="8"/>
      <c r="IV223" s="8"/>
    </row>
    <row r="224" ht="12.75" customHeight="1">
      <c r="A224" s="8"/>
      <c r="HT224" s="8"/>
      <c r="HU224" s="8"/>
      <c r="HV224" s="8"/>
      <c r="HW224" s="8"/>
      <c r="HX224" s="8"/>
      <c r="HY224" s="8"/>
      <c r="HZ224" s="8"/>
      <c r="IA224" s="8"/>
      <c r="IB224" s="8"/>
      <c r="IC224" s="8"/>
      <c r="ID224" s="8"/>
      <c r="IE224" s="8"/>
      <c r="IF224" s="8"/>
      <c r="IG224" s="8"/>
      <c r="IH224" s="8"/>
      <c r="II224" s="8"/>
      <c r="IJ224" s="8"/>
      <c r="IK224" s="8"/>
      <c r="IL224" s="8"/>
      <c r="IM224" s="8"/>
      <c r="IN224" s="8"/>
      <c r="IO224" s="8"/>
      <c r="IP224" s="8"/>
      <c r="IQ224" s="8"/>
      <c r="IR224" s="8"/>
      <c r="IS224" s="8"/>
      <c r="IT224" s="8"/>
      <c r="IU224" s="8"/>
      <c r="IV224" s="8"/>
    </row>
    <row r="225" ht="12.75" customHeight="1">
      <c r="A225" s="8"/>
      <c r="HT225" s="8"/>
      <c r="HU225" s="8"/>
      <c r="HV225" s="8"/>
      <c r="HW225" s="8"/>
      <c r="HX225" s="8"/>
      <c r="HY225" s="8"/>
      <c r="HZ225" s="8"/>
      <c r="IA225" s="8"/>
      <c r="IB225" s="8"/>
      <c r="IC225" s="8"/>
      <c r="ID225" s="8"/>
      <c r="IE225" s="8"/>
      <c r="IF225" s="8"/>
      <c r="IG225" s="8"/>
      <c r="IH225" s="8"/>
      <c r="II225" s="8"/>
      <c r="IJ225" s="8"/>
      <c r="IK225" s="8"/>
      <c r="IL225" s="8"/>
      <c r="IM225" s="8"/>
      <c r="IN225" s="8"/>
      <c r="IO225" s="8"/>
      <c r="IP225" s="8"/>
      <c r="IQ225" s="8"/>
      <c r="IR225" s="8"/>
      <c r="IS225" s="8"/>
      <c r="IT225" s="8"/>
      <c r="IU225" s="8"/>
      <c r="IV225" s="8"/>
    </row>
    <row r="226" ht="12.75" customHeight="1">
      <c r="A226" s="8"/>
      <c r="HT226" s="8"/>
      <c r="HU226" s="8"/>
      <c r="HV226" s="8"/>
      <c r="HW226" s="8"/>
      <c r="HX226" s="8"/>
      <c r="HY226" s="8"/>
      <c r="HZ226" s="8"/>
      <c r="IA226" s="8"/>
      <c r="IB226" s="8"/>
      <c r="IC226" s="8"/>
      <c r="ID226" s="8"/>
      <c r="IE226" s="8"/>
      <c r="IF226" s="8"/>
      <c r="IG226" s="8"/>
      <c r="IH226" s="8"/>
      <c r="II226" s="8"/>
      <c r="IJ226" s="8"/>
      <c r="IK226" s="8"/>
      <c r="IL226" s="8"/>
      <c r="IM226" s="8"/>
      <c r="IN226" s="8"/>
      <c r="IO226" s="8"/>
      <c r="IP226" s="8"/>
      <c r="IQ226" s="8"/>
      <c r="IR226" s="8"/>
      <c r="IS226" s="8"/>
      <c r="IT226" s="8"/>
      <c r="IU226" s="8"/>
      <c r="IV226" s="8"/>
    </row>
    <row r="227" ht="12.75" customHeight="1">
      <c r="A227" s="8"/>
      <c r="HT227" s="8"/>
      <c r="HU227" s="8"/>
      <c r="HV227" s="8"/>
      <c r="HW227" s="8"/>
      <c r="HX227" s="8"/>
      <c r="HY227" s="8"/>
      <c r="HZ227" s="8"/>
      <c r="IA227" s="8"/>
      <c r="IB227" s="8"/>
      <c r="IC227" s="8"/>
      <c r="ID227" s="8"/>
      <c r="IE227" s="8"/>
      <c r="IF227" s="8"/>
      <c r="IG227" s="8"/>
      <c r="IH227" s="8"/>
      <c r="II227" s="8"/>
      <c r="IJ227" s="8"/>
      <c r="IK227" s="8"/>
      <c r="IL227" s="8"/>
      <c r="IM227" s="8"/>
      <c r="IN227" s="8"/>
      <c r="IO227" s="8"/>
      <c r="IP227" s="8"/>
      <c r="IQ227" s="8"/>
      <c r="IR227" s="8"/>
      <c r="IS227" s="8"/>
      <c r="IT227" s="8"/>
      <c r="IU227" s="8"/>
      <c r="IV227" s="8"/>
    </row>
    <row r="228" ht="12.75" customHeight="1">
      <c r="A228" s="8"/>
      <c r="HT228" s="8"/>
      <c r="HU228" s="8"/>
      <c r="HV228" s="8"/>
      <c r="HW228" s="8"/>
      <c r="HX228" s="8"/>
      <c r="HY228" s="8"/>
      <c r="HZ228" s="8"/>
      <c r="IA228" s="8"/>
      <c r="IB228" s="8"/>
      <c r="IC228" s="8"/>
      <c r="ID228" s="8"/>
      <c r="IE228" s="8"/>
      <c r="IF228" s="8"/>
      <c r="IG228" s="8"/>
      <c r="IH228" s="8"/>
      <c r="II228" s="8"/>
      <c r="IJ228" s="8"/>
      <c r="IK228" s="8"/>
      <c r="IL228" s="8"/>
      <c r="IM228" s="8"/>
      <c r="IN228" s="8"/>
      <c r="IO228" s="8"/>
      <c r="IP228" s="8"/>
      <c r="IQ228" s="8"/>
      <c r="IR228" s="8"/>
      <c r="IS228" s="8"/>
      <c r="IT228" s="8"/>
      <c r="IU228" s="8"/>
      <c r="IV228" s="8"/>
    </row>
    <row r="229" ht="12.75" customHeight="1">
      <c r="A229" s="8"/>
      <c r="HT229" s="8"/>
      <c r="HU229" s="8"/>
      <c r="HV229" s="8"/>
      <c r="HW229" s="8"/>
      <c r="HX229" s="8"/>
      <c r="HY229" s="8"/>
      <c r="HZ229" s="8"/>
      <c r="IA229" s="8"/>
      <c r="IB229" s="8"/>
      <c r="IC229" s="8"/>
      <c r="ID229" s="8"/>
      <c r="IE229" s="8"/>
      <c r="IF229" s="8"/>
      <c r="IG229" s="8"/>
      <c r="IH229" s="8"/>
      <c r="II229" s="8"/>
      <c r="IJ229" s="8"/>
      <c r="IK229" s="8"/>
      <c r="IL229" s="8"/>
      <c r="IM229" s="8"/>
      <c r="IN229" s="8"/>
      <c r="IO229" s="8"/>
      <c r="IP229" s="8"/>
      <c r="IQ229" s="8"/>
      <c r="IR229" s="8"/>
      <c r="IS229" s="8"/>
      <c r="IT229" s="8"/>
      <c r="IU229" s="8"/>
      <c r="IV229" s="8"/>
    </row>
    <row r="230" ht="12.75" customHeight="1">
      <c r="A230" s="8"/>
      <c r="HT230" s="8"/>
      <c r="HU230" s="8"/>
      <c r="HV230" s="8"/>
      <c r="HW230" s="8"/>
      <c r="HX230" s="8"/>
      <c r="HY230" s="8"/>
      <c r="HZ230" s="8"/>
      <c r="IA230" s="8"/>
      <c r="IB230" s="8"/>
      <c r="IC230" s="8"/>
      <c r="ID230" s="8"/>
      <c r="IE230" s="8"/>
      <c r="IF230" s="8"/>
      <c r="IG230" s="8"/>
      <c r="IH230" s="8"/>
      <c r="II230" s="8"/>
      <c r="IJ230" s="8"/>
      <c r="IK230" s="8"/>
      <c r="IL230" s="8"/>
      <c r="IM230" s="8"/>
      <c r="IN230" s="8"/>
      <c r="IO230" s="8"/>
      <c r="IP230" s="8"/>
      <c r="IQ230" s="8"/>
      <c r="IR230" s="8"/>
      <c r="IS230" s="8"/>
      <c r="IT230" s="8"/>
      <c r="IU230" s="8"/>
      <c r="IV230" s="8"/>
    </row>
    <row r="231" ht="12.75" customHeight="1">
      <c r="A231" s="8"/>
      <c r="HT231" s="8"/>
      <c r="HU231" s="8"/>
      <c r="HV231" s="8"/>
      <c r="HW231" s="8"/>
      <c r="HX231" s="8"/>
      <c r="HY231" s="8"/>
      <c r="HZ231" s="8"/>
      <c r="IA231" s="8"/>
      <c r="IB231" s="8"/>
      <c r="IC231" s="8"/>
      <c r="ID231" s="8"/>
      <c r="IE231" s="8"/>
      <c r="IF231" s="8"/>
      <c r="IG231" s="8"/>
      <c r="IH231" s="8"/>
      <c r="II231" s="8"/>
      <c r="IJ231" s="8"/>
      <c r="IK231" s="8"/>
      <c r="IL231" s="8"/>
      <c r="IM231" s="8"/>
      <c r="IN231" s="8"/>
      <c r="IO231" s="8"/>
      <c r="IP231" s="8"/>
      <c r="IQ231" s="8"/>
      <c r="IR231" s="8"/>
      <c r="IS231" s="8"/>
      <c r="IT231" s="8"/>
      <c r="IU231" s="8"/>
      <c r="IV231" s="8"/>
    </row>
    <row r="232" ht="12.75" customHeight="1">
      <c r="A232" s="8"/>
      <c r="HT232" s="8"/>
      <c r="HU232" s="8"/>
      <c r="HV232" s="8"/>
      <c r="HW232" s="8"/>
      <c r="HX232" s="8"/>
      <c r="HY232" s="8"/>
      <c r="HZ232" s="8"/>
      <c r="IA232" s="8"/>
      <c r="IB232" s="8"/>
      <c r="IC232" s="8"/>
      <c r="ID232" s="8"/>
      <c r="IE232" s="8"/>
      <c r="IF232" s="8"/>
      <c r="IG232" s="8"/>
      <c r="IH232" s="8"/>
      <c r="II232" s="8"/>
      <c r="IJ232" s="8"/>
      <c r="IK232" s="8"/>
      <c r="IL232" s="8"/>
      <c r="IM232" s="8"/>
      <c r="IN232" s="8"/>
      <c r="IO232" s="8"/>
      <c r="IP232" s="8"/>
      <c r="IQ232" s="8"/>
      <c r="IR232" s="8"/>
      <c r="IS232" s="8"/>
      <c r="IT232" s="8"/>
      <c r="IU232" s="8"/>
      <c r="IV232" s="8"/>
    </row>
    <row r="233" ht="12.75" customHeight="1">
      <c r="A233" s="8"/>
      <c r="HT233" s="8"/>
      <c r="HU233" s="8"/>
      <c r="HV233" s="8"/>
      <c r="HW233" s="8"/>
      <c r="HX233" s="8"/>
      <c r="HY233" s="8"/>
      <c r="HZ233" s="8"/>
      <c r="IA233" s="8"/>
      <c r="IB233" s="8"/>
      <c r="IC233" s="8"/>
      <c r="ID233" s="8"/>
      <c r="IE233" s="8"/>
      <c r="IF233" s="8"/>
      <c r="IG233" s="8"/>
      <c r="IH233" s="8"/>
      <c r="II233" s="8"/>
      <c r="IJ233" s="8"/>
      <c r="IK233" s="8"/>
      <c r="IL233" s="8"/>
      <c r="IM233" s="8"/>
      <c r="IN233" s="8"/>
      <c r="IO233" s="8"/>
      <c r="IP233" s="8"/>
      <c r="IQ233" s="8"/>
      <c r="IR233" s="8"/>
      <c r="IS233" s="8"/>
      <c r="IT233" s="8"/>
      <c r="IU233" s="8"/>
      <c r="IV233" s="8"/>
    </row>
    <row r="234" ht="12.75" customHeight="1">
      <c r="A234" s="8"/>
      <c r="HT234" s="8"/>
      <c r="HU234" s="8"/>
      <c r="HV234" s="8"/>
      <c r="HW234" s="8"/>
      <c r="HX234" s="8"/>
      <c r="HY234" s="8"/>
      <c r="HZ234" s="8"/>
      <c r="IA234" s="8"/>
      <c r="IB234" s="8"/>
      <c r="IC234" s="8"/>
      <c r="ID234" s="8"/>
      <c r="IE234" s="8"/>
      <c r="IF234" s="8"/>
      <c r="IG234" s="8"/>
      <c r="IH234" s="8"/>
      <c r="II234" s="8"/>
      <c r="IJ234" s="8"/>
      <c r="IK234" s="8"/>
      <c r="IL234" s="8"/>
      <c r="IM234" s="8"/>
      <c r="IN234" s="8"/>
      <c r="IO234" s="8"/>
      <c r="IP234" s="8"/>
      <c r="IQ234" s="8"/>
      <c r="IR234" s="8"/>
      <c r="IS234" s="8"/>
      <c r="IT234" s="8"/>
      <c r="IU234" s="8"/>
      <c r="IV234" s="8"/>
    </row>
    <row r="235" ht="12.75" customHeight="1">
      <c r="A235" s="8"/>
      <c r="HT235" s="8"/>
      <c r="HU235" s="8"/>
      <c r="HV235" s="8"/>
      <c r="HW235" s="8"/>
      <c r="HX235" s="8"/>
      <c r="HY235" s="8"/>
      <c r="HZ235" s="8"/>
      <c r="IA235" s="8"/>
      <c r="IB235" s="8"/>
      <c r="IC235" s="8"/>
      <c r="ID235" s="8"/>
      <c r="IE235" s="8"/>
      <c r="IF235" s="8"/>
      <c r="IG235" s="8"/>
      <c r="IH235" s="8"/>
      <c r="II235" s="8"/>
      <c r="IJ235" s="8"/>
      <c r="IK235" s="8"/>
      <c r="IL235" s="8"/>
      <c r="IM235" s="8"/>
      <c r="IN235" s="8"/>
      <c r="IO235" s="8"/>
      <c r="IP235" s="8"/>
      <c r="IQ235" s="8"/>
      <c r="IR235" s="8"/>
      <c r="IS235" s="8"/>
      <c r="IT235" s="8"/>
      <c r="IU235" s="8"/>
      <c r="IV235" s="8"/>
    </row>
    <row r="236" ht="12.75" customHeight="1">
      <c r="A236" s="8"/>
      <c r="HT236" s="8"/>
      <c r="HU236" s="8"/>
      <c r="HV236" s="8"/>
      <c r="HW236" s="8"/>
      <c r="HX236" s="8"/>
      <c r="HY236" s="8"/>
      <c r="HZ236" s="8"/>
      <c r="IA236" s="8"/>
      <c r="IB236" s="8"/>
      <c r="IC236" s="8"/>
      <c r="ID236" s="8"/>
      <c r="IE236" s="8"/>
      <c r="IF236" s="8"/>
      <c r="IG236" s="8"/>
      <c r="IH236" s="8"/>
      <c r="II236" s="8"/>
      <c r="IJ236" s="8"/>
      <c r="IK236" s="8"/>
      <c r="IL236" s="8"/>
      <c r="IM236" s="8"/>
      <c r="IN236" s="8"/>
      <c r="IO236" s="8"/>
      <c r="IP236" s="8"/>
      <c r="IQ236" s="8"/>
      <c r="IR236" s="8"/>
      <c r="IS236" s="8"/>
      <c r="IT236" s="8"/>
      <c r="IU236" s="8"/>
      <c r="IV236" s="8"/>
    </row>
    <row r="237" ht="12.75" customHeight="1">
      <c r="A237" s="8"/>
      <c r="HT237" s="8"/>
      <c r="HU237" s="8"/>
      <c r="HV237" s="8"/>
      <c r="HW237" s="8"/>
      <c r="HX237" s="8"/>
      <c r="HY237" s="8"/>
      <c r="HZ237" s="8"/>
      <c r="IA237" s="8"/>
      <c r="IB237" s="8"/>
      <c r="IC237" s="8"/>
      <c r="ID237" s="8"/>
      <c r="IE237" s="8"/>
      <c r="IF237" s="8"/>
      <c r="IG237" s="8"/>
      <c r="IH237" s="8"/>
      <c r="II237" s="8"/>
      <c r="IJ237" s="8"/>
      <c r="IK237" s="8"/>
      <c r="IL237" s="8"/>
      <c r="IM237" s="8"/>
      <c r="IN237" s="8"/>
      <c r="IO237" s="8"/>
      <c r="IP237" s="8"/>
      <c r="IQ237" s="8"/>
      <c r="IR237" s="8"/>
      <c r="IS237" s="8"/>
      <c r="IT237" s="8"/>
      <c r="IU237" s="8"/>
      <c r="IV237" s="8"/>
    </row>
    <row r="238" ht="12.75" customHeight="1">
      <c r="A238" s="8"/>
      <c r="HT238" s="8"/>
      <c r="HU238" s="8"/>
      <c r="HV238" s="8"/>
      <c r="HW238" s="8"/>
      <c r="HX238" s="8"/>
      <c r="HY238" s="8"/>
      <c r="HZ238" s="8"/>
      <c r="IA238" s="8"/>
      <c r="IB238" s="8"/>
      <c r="IC238" s="8"/>
      <c r="ID238" s="8"/>
      <c r="IE238" s="8"/>
      <c r="IF238" s="8"/>
      <c r="IG238" s="8"/>
      <c r="IH238" s="8"/>
      <c r="II238" s="8"/>
      <c r="IJ238" s="8"/>
      <c r="IK238" s="8"/>
      <c r="IL238" s="8"/>
      <c r="IM238" s="8"/>
      <c r="IN238" s="8"/>
      <c r="IO238" s="8"/>
      <c r="IP238" s="8"/>
      <c r="IQ238" s="8"/>
      <c r="IR238" s="8"/>
      <c r="IS238" s="8"/>
      <c r="IT238" s="8"/>
      <c r="IU238" s="8"/>
      <c r="IV238" s="8"/>
    </row>
    <row r="239" ht="12.75" customHeight="1">
      <c r="A239" s="8"/>
      <c r="HT239" s="8"/>
      <c r="HU239" s="8"/>
      <c r="HV239" s="8"/>
      <c r="HW239" s="8"/>
      <c r="HX239" s="8"/>
      <c r="HY239" s="8"/>
      <c r="HZ239" s="8"/>
      <c r="IA239" s="8"/>
      <c r="IB239" s="8"/>
      <c r="IC239" s="8"/>
      <c r="ID239" s="8"/>
      <c r="IE239" s="8"/>
      <c r="IF239" s="8"/>
      <c r="IG239" s="8"/>
      <c r="IH239" s="8"/>
      <c r="II239" s="8"/>
      <c r="IJ239" s="8"/>
      <c r="IK239" s="8"/>
      <c r="IL239" s="8"/>
      <c r="IM239" s="8"/>
      <c r="IN239" s="8"/>
      <c r="IO239" s="8"/>
      <c r="IP239" s="8"/>
      <c r="IQ239" s="8"/>
      <c r="IR239" s="8"/>
      <c r="IS239" s="8"/>
      <c r="IT239" s="8"/>
      <c r="IU239" s="8"/>
      <c r="IV239" s="8"/>
    </row>
    <row r="240" ht="12.75" customHeight="1">
      <c r="A240" s="8"/>
      <c r="HT240" s="8"/>
      <c r="HU240" s="8"/>
      <c r="HV240" s="8"/>
      <c r="HW240" s="8"/>
      <c r="HX240" s="8"/>
      <c r="HY240" s="8"/>
      <c r="HZ240" s="8"/>
      <c r="IA240" s="8"/>
      <c r="IB240" s="8"/>
      <c r="IC240" s="8"/>
      <c r="ID240" s="8"/>
      <c r="IE240" s="8"/>
      <c r="IF240" s="8"/>
      <c r="IG240" s="8"/>
      <c r="IH240" s="8"/>
      <c r="II240" s="8"/>
      <c r="IJ240" s="8"/>
      <c r="IK240" s="8"/>
      <c r="IL240" s="8"/>
      <c r="IM240" s="8"/>
      <c r="IN240" s="8"/>
      <c r="IO240" s="8"/>
      <c r="IP240" s="8"/>
      <c r="IQ240" s="8"/>
      <c r="IR240" s="8"/>
      <c r="IS240" s="8"/>
      <c r="IT240" s="8"/>
      <c r="IU240" s="8"/>
      <c r="IV240" s="8"/>
    </row>
    <row r="241" ht="12.75" customHeight="1">
      <c r="A241" s="8"/>
      <c r="HT241" s="8"/>
      <c r="HU241" s="8"/>
      <c r="HV241" s="8"/>
      <c r="HW241" s="8"/>
      <c r="HX241" s="8"/>
      <c r="HY241" s="8"/>
      <c r="HZ241" s="8"/>
      <c r="IA241" s="8"/>
      <c r="IB241" s="8"/>
      <c r="IC241" s="8"/>
      <c r="ID241" s="8"/>
      <c r="IE241" s="8"/>
      <c r="IF241" s="8"/>
      <c r="IG241" s="8"/>
      <c r="IH241" s="8"/>
      <c r="II241" s="8"/>
      <c r="IJ241" s="8"/>
      <c r="IK241" s="8"/>
      <c r="IL241" s="8"/>
      <c r="IM241" s="8"/>
      <c r="IN241" s="8"/>
      <c r="IO241" s="8"/>
      <c r="IP241" s="8"/>
      <c r="IQ241" s="8"/>
      <c r="IR241" s="8"/>
      <c r="IS241" s="8"/>
      <c r="IT241" s="8"/>
      <c r="IU241" s="8"/>
      <c r="IV241" s="8"/>
    </row>
    <row r="242" ht="12.75" customHeight="1">
      <c r="A242" s="8"/>
      <c r="HT242" s="8"/>
      <c r="HU242" s="8"/>
      <c r="HV242" s="8"/>
      <c r="HW242" s="8"/>
      <c r="HX242" s="8"/>
      <c r="HY242" s="8"/>
      <c r="HZ242" s="8"/>
      <c r="IA242" s="8"/>
      <c r="IB242" s="8"/>
      <c r="IC242" s="8"/>
      <c r="ID242" s="8"/>
      <c r="IE242" s="8"/>
      <c r="IF242" s="8"/>
      <c r="IG242" s="8"/>
      <c r="IH242" s="8"/>
      <c r="II242" s="8"/>
      <c r="IJ242" s="8"/>
      <c r="IK242" s="8"/>
      <c r="IL242" s="8"/>
      <c r="IM242" s="8"/>
      <c r="IN242" s="8"/>
      <c r="IO242" s="8"/>
      <c r="IP242" s="8"/>
      <c r="IQ242" s="8"/>
      <c r="IR242" s="8"/>
      <c r="IS242" s="8"/>
      <c r="IT242" s="8"/>
      <c r="IU242" s="8"/>
      <c r="IV242" s="8"/>
    </row>
    <row r="243" ht="12.75" customHeight="1">
      <c r="A243" s="8"/>
      <c r="HT243" s="8"/>
      <c r="HU243" s="8"/>
      <c r="HV243" s="8"/>
      <c r="HW243" s="8"/>
      <c r="HX243" s="8"/>
      <c r="HY243" s="8"/>
      <c r="HZ243" s="8"/>
      <c r="IA243" s="8"/>
      <c r="IB243" s="8"/>
      <c r="IC243" s="8"/>
      <c r="ID243" s="8"/>
      <c r="IE243" s="8"/>
      <c r="IF243" s="8"/>
      <c r="IG243" s="8"/>
      <c r="IH243" s="8"/>
      <c r="II243" s="8"/>
      <c r="IJ243" s="8"/>
      <c r="IK243" s="8"/>
      <c r="IL243" s="8"/>
      <c r="IM243" s="8"/>
      <c r="IN243" s="8"/>
      <c r="IO243" s="8"/>
      <c r="IP243" s="8"/>
      <c r="IQ243" s="8"/>
      <c r="IR243" s="8"/>
      <c r="IS243" s="8"/>
      <c r="IT243" s="8"/>
      <c r="IU243" s="8"/>
      <c r="IV243" s="8"/>
    </row>
    <row r="244" ht="12.75" customHeight="1">
      <c r="A244" s="8"/>
      <c r="HT244" s="8"/>
      <c r="HU244" s="8"/>
      <c r="HV244" s="8"/>
      <c r="HW244" s="8"/>
      <c r="HX244" s="8"/>
      <c r="HY244" s="8"/>
      <c r="HZ244" s="8"/>
      <c r="IA244" s="8"/>
      <c r="IB244" s="8"/>
      <c r="IC244" s="8"/>
      <c r="ID244" s="8"/>
      <c r="IE244" s="8"/>
      <c r="IF244" s="8"/>
      <c r="IG244" s="8"/>
      <c r="IH244" s="8"/>
      <c r="II244" s="8"/>
      <c r="IJ244" s="8"/>
      <c r="IK244" s="8"/>
      <c r="IL244" s="8"/>
      <c r="IM244" s="8"/>
      <c r="IN244" s="8"/>
      <c r="IO244" s="8"/>
      <c r="IP244" s="8"/>
      <c r="IQ244" s="8"/>
      <c r="IR244" s="8"/>
      <c r="IS244" s="8"/>
      <c r="IT244" s="8"/>
      <c r="IU244" s="8"/>
      <c r="IV244" s="8"/>
    </row>
    <row r="245" ht="12.75" customHeight="1">
      <c r="A245" s="8"/>
      <c r="HT245" s="8"/>
      <c r="HU245" s="8"/>
      <c r="HV245" s="8"/>
      <c r="HW245" s="8"/>
      <c r="HX245" s="8"/>
      <c r="HY245" s="8"/>
      <c r="HZ245" s="8"/>
      <c r="IA245" s="8"/>
      <c r="IB245" s="8"/>
      <c r="IC245" s="8"/>
      <c r="ID245" s="8"/>
      <c r="IE245" s="8"/>
      <c r="IF245" s="8"/>
      <c r="IG245" s="8"/>
      <c r="IH245" s="8"/>
      <c r="II245" s="8"/>
      <c r="IJ245" s="8"/>
      <c r="IK245" s="8"/>
      <c r="IL245" s="8"/>
      <c r="IM245" s="8"/>
      <c r="IN245" s="8"/>
      <c r="IO245" s="8"/>
      <c r="IP245" s="8"/>
      <c r="IQ245" s="8"/>
      <c r="IR245" s="8"/>
      <c r="IS245" s="8"/>
      <c r="IT245" s="8"/>
      <c r="IU245" s="8"/>
      <c r="IV245" s="8"/>
    </row>
    <row r="246" ht="12.75" customHeight="1">
      <c r="A246" s="8"/>
      <c r="HT246" s="8"/>
      <c r="HU246" s="8"/>
      <c r="HV246" s="8"/>
      <c r="HW246" s="8"/>
      <c r="HX246" s="8"/>
      <c r="HY246" s="8"/>
      <c r="HZ246" s="8"/>
      <c r="IA246" s="8"/>
      <c r="IB246" s="8"/>
      <c r="IC246" s="8"/>
      <c r="ID246" s="8"/>
      <c r="IE246" s="8"/>
      <c r="IF246" s="8"/>
      <c r="IG246" s="8"/>
      <c r="IH246" s="8"/>
      <c r="II246" s="8"/>
      <c r="IJ246" s="8"/>
      <c r="IK246" s="8"/>
      <c r="IL246" s="8"/>
      <c r="IM246" s="8"/>
      <c r="IN246" s="8"/>
      <c r="IO246" s="8"/>
      <c r="IP246" s="8"/>
      <c r="IQ246" s="8"/>
      <c r="IR246" s="8"/>
      <c r="IS246" s="8"/>
      <c r="IT246" s="8"/>
      <c r="IU246" s="8"/>
      <c r="IV246" s="8"/>
    </row>
    <row r="247" ht="12.75" customHeight="1">
      <c r="A247" s="8"/>
      <c r="HT247" s="8"/>
      <c r="HU247" s="8"/>
      <c r="HV247" s="8"/>
      <c r="HW247" s="8"/>
      <c r="HX247" s="8"/>
      <c r="HY247" s="8"/>
      <c r="HZ247" s="8"/>
      <c r="IA247" s="8"/>
      <c r="IB247" s="8"/>
      <c r="IC247" s="8"/>
      <c r="ID247" s="8"/>
      <c r="IE247" s="8"/>
      <c r="IF247" s="8"/>
      <c r="IG247" s="8"/>
      <c r="IH247" s="8"/>
      <c r="II247" s="8"/>
      <c r="IJ247" s="8"/>
      <c r="IK247" s="8"/>
      <c r="IL247" s="8"/>
      <c r="IM247" s="8"/>
      <c r="IN247" s="8"/>
      <c r="IO247" s="8"/>
      <c r="IP247" s="8"/>
      <c r="IQ247" s="8"/>
      <c r="IR247" s="8"/>
      <c r="IS247" s="8"/>
      <c r="IT247" s="8"/>
      <c r="IU247" s="8"/>
      <c r="IV247" s="8"/>
    </row>
    <row r="248" ht="12.75" customHeight="1">
      <c r="A248" s="8"/>
      <c r="HT248" s="8"/>
      <c r="HU248" s="8"/>
      <c r="HV248" s="8"/>
      <c r="HW248" s="8"/>
      <c r="HX248" s="8"/>
      <c r="HY248" s="8"/>
      <c r="HZ248" s="8"/>
      <c r="IA248" s="8"/>
      <c r="IB248" s="8"/>
      <c r="IC248" s="8"/>
      <c r="ID248" s="8"/>
      <c r="IE248" s="8"/>
      <c r="IF248" s="8"/>
      <c r="IG248" s="8"/>
      <c r="IH248" s="8"/>
      <c r="II248" s="8"/>
      <c r="IJ248" s="8"/>
      <c r="IK248" s="8"/>
      <c r="IL248" s="8"/>
      <c r="IM248" s="8"/>
      <c r="IN248" s="8"/>
      <c r="IO248" s="8"/>
      <c r="IP248" s="8"/>
      <c r="IQ248" s="8"/>
      <c r="IR248" s="8"/>
      <c r="IS248" s="8"/>
      <c r="IT248" s="8"/>
      <c r="IU248" s="8"/>
      <c r="IV248" s="8"/>
    </row>
    <row r="249" ht="12.75" customHeight="1">
      <c r="A249" s="8"/>
      <c r="HT249" s="8"/>
      <c r="HU249" s="8"/>
      <c r="HV249" s="8"/>
      <c r="HW249" s="8"/>
      <c r="HX249" s="8"/>
      <c r="HY249" s="8"/>
      <c r="HZ249" s="8"/>
      <c r="IA249" s="8"/>
      <c r="IB249" s="8"/>
      <c r="IC249" s="8"/>
      <c r="ID249" s="8"/>
      <c r="IE249" s="8"/>
      <c r="IF249" s="8"/>
      <c r="IG249" s="8"/>
      <c r="IH249" s="8"/>
      <c r="II249" s="8"/>
      <c r="IJ249" s="8"/>
      <c r="IK249" s="8"/>
      <c r="IL249" s="8"/>
      <c r="IM249" s="8"/>
      <c r="IN249" s="8"/>
      <c r="IO249" s="8"/>
      <c r="IP249" s="8"/>
      <c r="IQ249" s="8"/>
      <c r="IR249" s="8"/>
      <c r="IS249" s="8"/>
      <c r="IT249" s="8"/>
      <c r="IU249" s="8"/>
      <c r="IV249" s="8"/>
    </row>
    <row r="250" ht="12.75" customHeight="1">
      <c r="A250" s="8"/>
      <c r="HT250" s="8"/>
      <c r="HU250" s="8"/>
      <c r="HV250" s="8"/>
      <c r="HW250" s="8"/>
      <c r="HX250" s="8"/>
      <c r="HY250" s="8"/>
      <c r="HZ250" s="8"/>
      <c r="IA250" s="8"/>
      <c r="IB250" s="8"/>
      <c r="IC250" s="8"/>
      <c r="ID250" s="8"/>
      <c r="IE250" s="8"/>
      <c r="IF250" s="8"/>
      <c r="IG250" s="8"/>
      <c r="IH250" s="8"/>
      <c r="II250" s="8"/>
      <c r="IJ250" s="8"/>
      <c r="IK250" s="8"/>
      <c r="IL250" s="8"/>
      <c r="IM250" s="8"/>
      <c r="IN250" s="8"/>
      <c r="IO250" s="8"/>
      <c r="IP250" s="8"/>
      <c r="IQ250" s="8"/>
      <c r="IR250" s="8"/>
      <c r="IS250" s="8"/>
      <c r="IT250" s="8"/>
      <c r="IU250" s="8"/>
      <c r="IV250" s="8"/>
    </row>
    <row r="251" ht="12.75" customHeight="1">
      <c r="A251" s="8"/>
      <c r="HT251" s="8"/>
      <c r="HU251" s="8"/>
      <c r="HV251" s="8"/>
      <c r="HW251" s="8"/>
      <c r="HX251" s="8"/>
      <c r="HY251" s="8"/>
      <c r="HZ251" s="8"/>
      <c r="IA251" s="8"/>
      <c r="IB251" s="8"/>
      <c r="IC251" s="8"/>
      <c r="ID251" s="8"/>
      <c r="IE251" s="8"/>
      <c r="IF251" s="8"/>
      <c r="IG251" s="8"/>
      <c r="IH251" s="8"/>
      <c r="II251" s="8"/>
      <c r="IJ251" s="8"/>
      <c r="IK251" s="8"/>
      <c r="IL251" s="8"/>
      <c r="IM251" s="8"/>
      <c r="IN251" s="8"/>
      <c r="IO251" s="8"/>
      <c r="IP251" s="8"/>
      <c r="IQ251" s="8"/>
      <c r="IR251" s="8"/>
      <c r="IS251" s="8"/>
      <c r="IT251" s="8"/>
      <c r="IU251" s="8"/>
      <c r="IV251" s="8"/>
    </row>
    <row r="252" ht="12.75" customHeight="1">
      <c r="A252" s="8"/>
      <c r="HT252" s="8"/>
      <c r="HU252" s="8"/>
      <c r="HV252" s="8"/>
      <c r="HW252" s="8"/>
      <c r="HX252" s="8"/>
      <c r="HY252" s="8"/>
      <c r="HZ252" s="8"/>
      <c r="IA252" s="8"/>
      <c r="IB252" s="8"/>
      <c r="IC252" s="8"/>
      <c r="ID252" s="8"/>
      <c r="IE252" s="8"/>
      <c r="IF252" s="8"/>
      <c r="IG252" s="8"/>
      <c r="IH252" s="8"/>
      <c r="II252" s="8"/>
      <c r="IJ252" s="8"/>
      <c r="IK252" s="8"/>
      <c r="IL252" s="8"/>
      <c r="IM252" s="8"/>
      <c r="IN252" s="8"/>
      <c r="IO252" s="8"/>
      <c r="IP252" s="8"/>
      <c r="IQ252" s="8"/>
      <c r="IR252" s="8"/>
      <c r="IS252" s="8"/>
      <c r="IT252" s="8"/>
      <c r="IU252" s="8"/>
      <c r="IV252" s="8"/>
    </row>
    <row r="253" ht="12.75" customHeight="1">
      <c r="A253" s="8"/>
      <c r="HT253" s="8"/>
      <c r="HU253" s="8"/>
      <c r="HV253" s="8"/>
      <c r="HW253" s="8"/>
      <c r="HX253" s="8"/>
      <c r="HY253" s="8"/>
      <c r="HZ253" s="8"/>
      <c r="IA253" s="8"/>
      <c r="IB253" s="8"/>
      <c r="IC253" s="8"/>
      <c r="ID253" s="8"/>
      <c r="IE253" s="8"/>
      <c r="IF253" s="8"/>
      <c r="IG253" s="8"/>
      <c r="IH253" s="8"/>
      <c r="II253" s="8"/>
      <c r="IJ253" s="8"/>
      <c r="IK253" s="8"/>
      <c r="IL253" s="8"/>
      <c r="IM253" s="8"/>
      <c r="IN253" s="8"/>
      <c r="IO253" s="8"/>
      <c r="IP253" s="8"/>
      <c r="IQ253" s="8"/>
      <c r="IR253" s="8"/>
      <c r="IS253" s="8"/>
      <c r="IT253" s="8"/>
      <c r="IU253" s="8"/>
      <c r="IV253" s="8"/>
    </row>
    <row r="254" ht="12.75" customHeight="1">
      <c r="A254" s="8"/>
      <c r="HT254" s="8"/>
      <c r="HU254" s="8"/>
      <c r="HV254" s="8"/>
      <c r="HW254" s="8"/>
      <c r="HX254" s="8"/>
      <c r="HY254" s="8"/>
      <c r="HZ254" s="8"/>
      <c r="IA254" s="8"/>
      <c r="IB254" s="8"/>
      <c r="IC254" s="8"/>
      <c r="ID254" s="8"/>
      <c r="IE254" s="8"/>
      <c r="IF254" s="8"/>
      <c r="IG254" s="8"/>
      <c r="IH254" s="8"/>
      <c r="II254" s="8"/>
      <c r="IJ254" s="8"/>
      <c r="IK254" s="8"/>
      <c r="IL254" s="8"/>
      <c r="IM254" s="8"/>
      <c r="IN254" s="8"/>
      <c r="IO254" s="8"/>
      <c r="IP254" s="8"/>
      <c r="IQ254" s="8"/>
      <c r="IR254" s="8"/>
      <c r="IS254" s="8"/>
      <c r="IT254" s="8"/>
      <c r="IU254" s="8"/>
      <c r="IV254" s="8"/>
    </row>
    <row r="255" ht="12.75" customHeight="1">
      <c r="A255" s="8"/>
      <c r="HT255" s="8"/>
      <c r="HU255" s="8"/>
      <c r="HV255" s="8"/>
      <c r="HW255" s="8"/>
      <c r="HX255" s="8"/>
      <c r="HY255" s="8"/>
      <c r="HZ255" s="8"/>
      <c r="IA255" s="8"/>
      <c r="IB255" s="8"/>
      <c r="IC255" s="8"/>
      <c r="ID255" s="8"/>
      <c r="IE255" s="8"/>
      <c r="IF255" s="8"/>
      <c r="IG255" s="8"/>
      <c r="IH255" s="8"/>
      <c r="II255" s="8"/>
      <c r="IJ255" s="8"/>
      <c r="IK255" s="8"/>
      <c r="IL255" s="8"/>
      <c r="IM255" s="8"/>
      <c r="IN255" s="8"/>
      <c r="IO255" s="8"/>
      <c r="IP255" s="8"/>
      <c r="IQ255" s="8"/>
      <c r="IR255" s="8"/>
      <c r="IS255" s="8"/>
      <c r="IT255" s="8"/>
      <c r="IU255" s="8"/>
      <c r="IV255" s="8"/>
    </row>
    <row r="256" ht="12.75" customHeight="1">
      <c r="A256" s="8"/>
      <c r="HT256" s="8"/>
      <c r="HU256" s="8"/>
      <c r="HV256" s="8"/>
      <c r="HW256" s="8"/>
      <c r="HX256" s="8"/>
      <c r="HY256" s="8"/>
      <c r="HZ256" s="8"/>
      <c r="IA256" s="8"/>
      <c r="IB256" s="8"/>
      <c r="IC256" s="8"/>
      <c r="ID256" s="8"/>
      <c r="IE256" s="8"/>
      <c r="IF256" s="8"/>
      <c r="IG256" s="8"/>
      <c r="IH256" s="8"/>
      <c r="II256" s="8"/>
      <c r="IJ256" s="8"/>
      <c r="IK256" s="8"/>
      <c r="IL256" s="8"/>
      <c r="IM256" s="8"/>
      <c r="IN256" s="8"/>
      <c r="IO256" s="8"/>
      <c r="IP256" s="8"/>
      <c r="IQ256" s="8"/>
      <c r="IR256" s="8"/>
      <c r="IS256" s="8"/>
      <c r="IT256" s="8"/>
      <c r="IU256" s="8"/>
      <c r="IV256" s="8"/>
    </row>
    <row r="257" ht="12.75" customHeight="1">
      <c r="A257" s="8"/>
      <c r="HT257" s="8"/>
      <c r="HU257" s="8"/>
      <c r="HV257" s="8"/>
      <c r="HW257" s="8"/>
      <c r="HX257" s="8"/>
      <c r="HY257" s="8"/>
      <c r="HZ257" s="8"/>
      <c r="IA257" s="8"/>
      <c r="IB257" s="8"/>
      <c r="IC257" s="8"/>
      <c r="ID257" s="8"/>
      <c r="IE257" s="8"/>
      <c r="IF257" s="8"/>
      <c r="IG257" s="8"/>
      <c r="IH257" s="8"/>
      <c r="II257" s="8"/>
      <c r="IJ257" s="8"/>
      <c r="IK257" s="8"/>
      <c r="IL257" s="8"/>
      <c r="IM257" s="8"/>
      <c r="IN257" s="8"/>
      <c r="IO257" s="8"/>
      <c r="IP257" s="8"/>
      <c r="IQ257" s="8"/>
      <c r="IR257" s="8"/>
      <c r="IS257" s="8"/>
      <c r="IT257" s="8"/>
      <c r="IU257" s="8"/>
      <c r="IV257" s="8"/>
    </row>
    <row r="258" ht="12.75" customHeight="1">
      <c r="A258" s="8"/>
      <c r="HT258" s="8"/>
      <c r="HU258" s="8"/>
      <c r="HV258" s="8"/>
      <c r="HW258" s="8"/>
      <c r="HX258" s="8"/>
      <c r="HY258" s="8"/>
      <c r="HZ258" s="8"/>
      <c r="IA258" s="8"/>
      <c r="IB258" s="8"/>
      <c r="IC258" s="8"/>
      <c r="ID258" s="8"/>
      <c r="IE258" s="8"/>
      <c r="IF258" s="8"/>
      <c r="IG258" s="8"/>
      <c r="IH258" s="8"/>
      <c r="II258" s="8"/>
      <c r="IJ258" s="8"/>
      <c r="IK258" s="8"/>
      <c r="IL258" s="8"/>
      <c r="IM258" s="8"/>
      <c r="IN258" s="8"/>
      <c r="IO258" s="8"/>
      <c r="IP258" s="8"/>
      <c r="IQ258" s="8"/>
      <c r="IR258" s="8"/>
      <c r="IS258" s="8"/>
      <c r="IT258" s="8"/>
      <c r="IU258" s="8"/>
      <c r="IV258" s="8"/>
    </row>
    <row r="259" ht="12.75" customHeight="1">
      <c r="A259" s="8"/>
      <c r="HT259" s="8"/>
      <c r="HU259" s="8"/>
      <c r="HV259" s="8"/>
      <c r="HW259" s="8"/>
      <c r="HX259" s="8"/>
      <c r="HY259" s="8"/>
      <c r="HZ259" s="8"/>
      <c r="IA259" s="8"/>
      <c r="IB259" s="8"/>
      <c r="IC259" s="8"/>
      <c r="ID259" s="8"/>
      <c r="IE259" s="8"/>
      <c r="IF259" s="8"/>
      <c r="IG259" s="8"/>
      <c r="IH259" s="8"/>
      <c r="II259" s="8"/>
      <c r="IJ259" s="8"/>
      <c r="IK259" s="8"/>
      <c r="IL259" s="8"/>
      <c r="IM259" s="8"/>
      <c r="IN259" s="8"/>
      <c r="IO259" s="8"/>
      <c r="IP259" s="8"/>
      <c r="IQ259" s="8"/>
      <c r="IR259" s="8"/>
      <c r="IS259" s="8"/>
      <c r="IT259" s="8"/>
      <c r="IU259" s="8"/>
      <c r="IV259" s="8"/>
    </row>
    <row r="260" ht="12.75" customHeight="1">
      <c r="A260" s="8"/>
      <c r="HT260" s="8"/>
      <c r="HU260" s="8"/>
      <c r="HV260" s="8"/>
      <c r="HW260" s="8"/>
      <c r="HX260" s="8"/>
      <c r="HY260" s="8"/>
      <c r="HZ260" s="8"/>
      <c r="IA260" s="8"/>
      <c r="IB260" s="8"/>
      <c r="IC260" s="8"/>
      <c r="ID260" s="8"/>
      <c r="IE260" s="8"/>
      <c r="IF260" s="8"/>
      <c r="IG260" s="8"/>
      <c r="IH260" s="8"/>
      <c r="II260" s="8"/>
      <c r="IJ260" s="8"/>
      <c r="IK260" s="8"/>
      <c r="IL260" s="8"/>
      <c r="IM260" s="8"/>
      <c r="IN260" s="8"/>
      <c r="IO260" s="8"/>
      <c r="IP260" s="8"/>
      <c r="IQ260" s="8"/>
      <c r="IR260" s="8"/>
      <c r="IS260" s="8"/>
      <c r="IT260" s="8"/>
      <c r="IU260" s="8"/>
      <c r="IV260" s="8"/>
    </row>
    <row r="261" ht="12.75" customHeight="1">
      <c r="A261" s="8"/>
      <c r="HT261" s="8"/>
      <c r="HU261" s="8"/>
      <c r="HV261" s="8"/>
      <c r="HW261" s="8"/>
      <c r="HX261" s="8"/>
      <c r="HY261" s="8"/>
      <c r="HZ261" s="8"/>
      <c r="IA261" s="8"/>
      <c r="IB261" s="8"/>
      <c r="IC261" s="8"/>
      <c r="ID261" s="8"/>
      <c r="IE261" s="8"/>
      <c r="IF261" s="8"/>
      <c r="IG261" s="8"/>
      <c r="IH261" s="8"/>
      <c r="II261" s="8"/>
      <c r="IJ261" s="8"/>
      <c r="IK261" s="8"/>
      <c r="IL261" s="8"/>
      <c r="IM261" s="8"/>
      <c r="IN261" s="8"/>
      <c r="IO261" s="8"/>
      <c r="IP261" s="8"/>
      <c r="IQ261" s="8"/>
      <c r="IR261" s="8"/>
      <c r="IS261" s="8"/>
      <c r="IT261" s="8"/>
      <c r="IU261" s="8"/>
      <c r="IV261" s="8"/>
    </row>
    <row r="262" ht="12.75" customHeight="1">
      <c r="A262" s="8"/>
      <c r="HT262" s="8"/>
      <c r="HU262" s="8"/>
      <c r="HV262" s="8"/>
      <c r="HW262" s="8"/>
      <c r="HX262" s="8"/>
      <c r="HY262" s="8"/>
      <c r="HZ262" s="8"/>
      <c r="IA262" s="8"/>
      <c r="IB262" s="8"/>
      <c r="IC262" s="8"/>
      <c r="ID262" s="8"/>
      <c r="IE262" s="8"/>
      <c r="IF262" s="8"/>
      <c r="IG262" s="8"/>
      <c r="IH262" s="8"/>
      <c r="II262" s="8"/>
      <c r="IJ262" s="8"/>
      <c r="IK262" s="8"/>
      <c r="IL262" s="8"/>
      <c r="IM262" s="8"/>
      <c r="IN262" s="8"/>
      <c r="IO262" s="8"/>
      <c r="IP262" s="8"/>
      <c r="IQ262" s="8"/>
      <c r="IR262" s="8"/>
      <c r="IS262" s="8"/>
      <c r="IT262" s="8"/>
      <c r="IU262" s="8"/>
      <c r="IV262" s="8"/>
    </row>
    <row r="263" ht="12.75" customHeight="1">
      <c r="A263" s="8"/>
      <c r="HT263" s="8"/>
      <c r="HU263" s="8"/>
      <c r="HV263" s="8"/>
      <c r="HW263" s="8"/>
      <c r="HX263" s="8"/>
      <c r="HY263" s="8"/>
      <c r="HZ263" s="8"/>
      <c r="IA263" s="8"/>
      <c r="IB263" s="8"/>
      <c r="IC263" s="8"/>
      <c r="ID263" s="8"/>
      <c r="IE263" s="8"/>
      <c r="IF263" s="8"/>
      <c r="IG263" s="8"/>
      <c r="IH263" s="8"/>
      <c r="II263" s="8"/>
      <c r="IJ263" s="8"/>
      <c r="IK263" s="8"/>
      <c r="IL263" s="8"/>
      <c r="IM263" s="8"/>
      <c r="IN263" s="8"/>
      <c r="IO263" s="8"/>
      <c r="IP263" s="8"/>
      <c r="IQ263" s="8"/>
      <c r="IR263" s="8"/>
      <c r="IS263" s="8"/>
      <c r="IT263" s="8"/>
      <c r="IU263" s="8"/>
      <c r="IV263" s="8"/>
    </row>
    <row r="264" ht="12.75" customHeight="1">
      <c r="A264" s="8"/>
      <c r="HT264" s="8"/>
      <c r="HU264" s="8"/>
      <c r="HV264" s="8"/>
      <c r="HW264" s="8"/>
      <c r="HX264" s="8"/>
      <c r="HY264" s="8"/>
      <c r="HZ264" s="8"/>
      <c r="IA264" s="8"/>
      <c r="IB264" s="8"/>
      <c r="IC264" s="8"/>
      <c r="ID264" s="8"/>
      <c r="IE264" s="8"/>
      <c r="IF264" s="8"/>
      <c r="IG264" s="8"/>
      <c r="IH264" s="8"/>
      <c r="II264" s="8"/>
      <c r="IJ264" s="8"/>
      <c r="IK264" s="8"/>
      <c r="IL264" s="8"/>
      <c r="IM264" s="8"/>
      <c r="IN264" s="8"/>
      <c r="IO264" s="8"/>
      <c r="IP264" s="8"/>
      <c r="IQ264" s="8"/>
      <c r="IR264" s="8"/>
      <c r="IS264" s="8"/>
      <c r="IT264" s="8"/>
      <c r="IU264" s="8"/>
      <c r="IV264" s="8"/>
    </row>
    <row r="265" ht="12.75" customHeight="1">
      <c r="A265" s="8"/>
      <c r="HT265" s="8"/>
      <c r="HU265" s="8"/>
      <c r="HV265" s="8"/>
      <c r="HW265" s="8"/>
      <c r="HX265" s="8"/>
      <c r="HY265" s="8"/>
      <c r="HZ265" s="8"/>
      <c r="IA265" s="8"/>
      <c r="IB265" s="8"/>
      <c r="IC265" s="8"/>
      <c r="ID265" s="8"/>
      <c r="IE265" s="8"/>
      <c r="IF265" s="8"/>
      <c r="IG265" s="8"/>
      <c r="IH265" s="8"/>
      <c r="II265" s="8"/>
      <c r="IJ265" s="8"/>
      <c r="IK265" s="8"/>
      <c r="IL265" s="8"/>
      <c r="IM265" s="8"/>
      <c r="IN265" s="8"/>
      <c r="IO265" s="8"/>
      <c r="IP265" s="8"/>
      <c r="IQ265" s="8"/>
      <c r="IR265" s="8"/>
      <c r="IS265" s="8"/>
      <c r="IT265" s="8"/>
      <c r="IU265" s="8"/>
      <c r="IV265" s="8"/>
    </row>
    <row r="266" ht="12.75" customHeight="1">
      <c r="A266" s="8"/>
      <c r="HT266" s="8"/>
      <c r="HU266" s="8"/>
      <c r="HV266" s="8"/>
      <c r="HW266" s="8"/>
      <c r="HX266" s="8"/>
      <c r="HY266" s="8"/>
      <c r="HZ266" s="8"/>
      <c r="IA266" s="8"/>
      <c r="IB266" s="8"/>
      <c r="IC266" s="8"/>
      <c r="ID266" s="8"/>
      <c r="IE266" s="8"/>
      <c r="IF266" s="8"/>
      <c r="IG266" s="8"/>
      <c r="IH266" s="8"/>
      <c r="II266" s="8"/>
      <c r="IJ266" s="8"/>
      <c r="IK266" s="8"/>
      <c r="IL266" s="8"/>
      <c r="IM266" s="8"/>
      <c r="IN266" s="8"/>
      <c r="IO266" s="8"/>
      <c r="IP266" s="8"/>
      <c r="IQ266" s="8"/>
      <c r="IR266" s="8"/>
      <c r="IS266" s="8"/>
      <c r="IT266" s="8"/>
      <c r="IU266" s="8"/>
      <c r="IV266" s="8"/>
    </row>
    <row r="267" ht="12.75" customHeight="1">
      <c r="A267" s="8"/>
      <c r="HT267" s="8"/>
      <c r="HU267" s="8"/>
      <c r="HV267" s="8"/>
      <c r="HW267" s="8"/>
      <c r="HX267" s="8"/>
      <c r="HY267" s="8"/>
      <c r="HZ267" s="8"/>
      <c r="IA267" s="8"/>
      <c r="IB267" s="8"/>
      <c r="IC267" s="8"/>
      <c r="ID267" s="8"/>
      <c r="IE267" s="8"/>
      <c r="IF267" s="8"/>
      <c r="IG267" s="8"/>
      <c r="IH267" s="8"/>
      <c r="II267" s="8"/>
      <c r="IJ267" s="8"/>
      <c r="IK267" s="8"/>
      <c r="IL267" s="8"/>
      <c r="IM267" s="8"/>
      <c r="IN267" s="8"/>
      <c r="IO267" s="8"/>
      <c r="IP267" s="8"/>
      <c r="IQ267" s="8"/>
      <c r="IR267" s="8"/>
      <c r="IS267" s="8"/>
      <c r="IT267" s="8"/>
      <c r="IU267" s="8"/>
      <c r="IV267" s="8"/>
    </row>
    <row r="268" ht="12.75" customHeight="1">
      <c r="A268" s="8"/>
      <c r="HT268" s="8"/>
      <c r="HU268" s="8"/>
      <c r="HV268" s="8"/>
      <c r="HW268" s="8"/>
      <c r="HX268" s="8"/>
      <c r="HY268" s="8"/>
      <c r="HZ268" s="8"/>
      <c r="IA268" s="8"/>
      <c r="IB268" s="8"/>
      <c r="IC268" s="8"/>
      <c r="ID268" s="8"/>
      <c r="IE268" s="8"/>
      <c r="IF268" s="8"/>
      <c r="IG268" s="8"/>
      <c r="IH268" s="8"/>
      <c r="II268" s="8"/>
      <c r="IJ268" s="8"/>
      <c r="IK268" s="8"/>
      <c r="IL268" s="8"/>
      <c r="IM268" s="8"/>
      <c r="IN268" s="8"/>
      <c r="IO268" s="8"/>
      <c r="IP268" s="8"/>
      <c r="IQ268" s="8"/>
      <c r="IR268" s="8"/>
      <c r="IS268" s="8"/>
      <c r="IT268" s="8"/>
      <c r="IU268" s="8"/>
      <c r="IV268" s="8"/>
    </row>
    <row r="269" ht="12.75" customHeight="1">
      <c r="A269" s="8"/>
      <c r="HT269" s="8"/>
      <c r="HU269" s="8"/>
      <c r="HV269" s="8"/>
      <c r="HW269" s="8"/>
      <c r="HX269" s="8"/>
      <c r="HY269" s="8"/>
      <c r="HZ269" s="8"/>
      <c r="IA269" s="8"/>
      <c r="IB269" s="8"/>
      <c r="IC269" s="8"/>
      <c r="ID269" s="8"/>
      <c r="IE269" s="8"/>
      <c r="IF269" s="8"/>
      <c r="IG269" s="8"/>
      <c r="IH269" s="8"/>
      <c r="II269" s="8"/>
      <c r="IJ269" s="8"/>
      <c r="IK269" s="8"/>
      <c r="IL269" s="8"/>
      <c r="IM269" s="8"/>
      <c r="IN269" s="8"/>
      <c r="IO269" s="8"/>
      <c r="IP269" s="8"/>
      <c r="IQ269" s="8"/>
      <c r="IR269" s="8"/>
      <c r="IS269" s="8"/>
      <c r="IT269" s="8"/>
      <c r="IU269" s="8"/>
      <c r="IV269" s="8"/>
    </row>
    <row r="270" ht="12.75" customHeight="1">
      <c r="A270" s="8"/>
      <c r="HT270" s="8"/>
      <c r="HU270" s="8"/>
      <c r="HV270" s="8"/>
      <c r="HW270" s="8"/>
      <c r="HX270" s="8"/>
      <c r="HY270" s="8"/>
      <c r="HZ270" s="8"/>
      <c r="IA270" s="8"/>
      <c r="IB270" s="8"/>
      <c r="IC270" s="8"/>
      <c r="ID270" s="8"/>
      <c r="IE270" s="8"/>
      <c r="IF270" s="8"/>
      <c r="IG270" s="8"/>
      <c r="IH270" s="8"/>
      <c r="II270" s="8"/>
      <c r="IJ270" s="8"/>
      <c r="IK270" s="8"/>
      <c r="IL270" s="8"/>
      <c r="IM270" s="8"/>
      <c r="IN270" s="8"/>
      <c r="IO270" s="8"/>
      <c r="IP270" s="8"/>
      <c r="IQ270" s="8"/>
      <c r="IR270" s="8"/>
      <c r="IS270" s="8"/>
      <c r="IT270" s="8"/>
      <c r="IU270" s="8"/>
      <c r="IV270" s="8"/>
    </row>
    <row r="271" ht="12.75" customHeight="1">
      <c r="A271" s="8"/>
      <c r="HT271" s="8"/>
      <c r="HU271" s="8"/>
      <c r="HV271" s="8"/>
      <c r="HW271" s="8"/>
      <c r="HX271" s="8"/>
      <c r="HY271" s="8"/>
      <c r="HZ271" s="8"/>
      <c r="IA271" s="8"/>
      <c r="IB271" s="8"/>
      <c r="IC271" s="8"/>
      <c r="ID271" s="8"/>
      <c r="IE271" s="8"/>
      <c r="IF271" s="8"/>
      <c r="IG271" s="8"/>
      <c r="IH271" s="8"/>
      <c r="II271" s="8"/>
      <c r="IJ271" s="8"/>
      <c r="IK271" s="8"/>
      <c r="IL271" s="8"/>
      <c r="IM271" s="8"/>
      <c r="IN271" s="8"/>
      <c r="IO271" s="8"/>
      <c r="IP271" s="8"/>
      <c r="IQ271" s="8"/>
      <c r="IR271" s="8"/>
      <c r="IS271" s="8"/>
      <c r="IT271" s="8"/>
      <c r="IU271" s="8"/>
      <c r="IV271" s="8"/>
    </row>
    <row r="272" ht="12.75" customHeight="1">
      <c r="A272" s="8"/>
      <c r="HT272" s="8"/>
      <c r="HU272" s="8"/>
      <c r="HV272" s="8"/>
      <c r="HW272" s="8"/>
      <c r="HX272" s="8"/>
      <c r="HY272" s="8"/>
      <c r="HZ272" s="8"/>
      <c r="IA272" s="8"/>
      <c r="IB272" s="8"/>
      <c r="IC272" s="8"/>
      <c r="ID272" s="8"/>
      <c r="IE272" s="8"/>
      <c r="IF272" s="8"/>
      <c r="IG272" s="8"/>
      <c r="IH272" s="8"/>
      <c r="II272" s="8"/>
      <c r="IJ272" s="8"/>
      <c r="IK272" s="8"/>
      <c r="IL272" s="8"/>
      <c r="IM272" s="8"/>
      <c r="IN272" s="8"/>
      <c r="IO272" s="8"/>
      <c r="IP272" s="8"/>
      <c r="IQ272" s="8"/>
      <c r="IR272" s="8"/>
      <c r="IS272" s="8"/>
      <c r="IT272" s="8"/>
      <c r="IU272" s="8"/>
      <c r="IV272" s="8"/>
    </row>
    <row r="273" ht="12.75" customHeight="1">
      <c r="A273" s="8"/>
      <c r="HT273" s="8"/>
      <c r="HU273" s="8"/>
      <c r="HV273" s="8"/>
      <c r="HW273" s="8"/>
      <c r="HX273" s="8"/>
      <c r="HY273" s="8"/>
      <c r="HZ273" s="8"/>
      <c r="IA273" s="8"/>
      <c r="IB273" s="8"/>
      <c r="IC273" s="8"/>
      <c r="ID273" s="8"/>
      <c r="IE273" s="8"/>
      <c r="IF273" s="8"/>
      <c r="IG273" s="8"/>
      <c r="IH273" s="8"/>
      <c r="II273" s="8"/>
      <c r="IJ273" s="8"/>
      <c r="IK273" s="8"/>
      <c r="IL273" s="8"/>
      <c r="IM273" s="8"/>
      <c r="IN273" s="8"/>
      <c r="IO273" s="8"/>
      <c r="IP273" s="8"/>
      <c r="IQ273" s="8"/>
      <c r="IR273" s="8"/>
      <c r="IS273" s="8"/>
      <c r="IT273" s="8"/>
      <c r="IU273" s="8"/>
      <c r="IV273" s="8"/>
    </row>
    <row r="274" ht="12.75" customHeight="1">
      <c r="A274" s="8"/>
      <c r="HT274" s="8"/>
      <c r="HU274" s="8"/>
      <c r="HV274" s="8"/>
      <c r="HW274" s="8"/>
      <c r="HX274" s="8"/>
      <c r="HY274" s="8"/>
      <c r="HZ274" s="8"/>
      <c r="IA274" s="8"/>
      <c r="IB274" s="8"/>
      <c r="IC274" s="8"/>
      <c r="ID274" s="8"/>
      <c r="IE274" s="8"/>
      <c r="IF274" s="8"/>
      <c r="IG274" s="8"/>
      <c r="IH274" s="8"/>
      <c r="II274" s="8"/>
      <c r="IJ274" s="8"/>
      <c r="IK274" s="8"/>
      <c r="IL274" s="8"/>
      <c r="IM274" s="8"/>
      <c r="IN274" s="8"/>
      <c r="IO274" s="8"/>
      <c r="IP274" s="8"/>
      <c r="IQ274" s="8"/>
      <c r="IR274" s="8"/>
      <c r="IS274" s="8"/>
      <c r="IT274" s="8"/>
      <c r="IU274" s="8"/>
      <c r="IV274" s="8"/>
    </row>
    <row r="275" ht="12.75" customHeight="1">
      <c r="A275" s="8"/>
      <c r="HT275" s="8"/>
      <c r="HU275" s="8"/>
      <c r="HV275" s="8"/>
      <c r="HW275" s="8"/>
      <c r="HX275" s="8"/>
      <c r="HY275" s="8"/>
      <c r="HZ275" s="8"/>
      <c r="IA275" s="8"/>
      <c r="IB275" s="8"/>
      <c r="IC275" s="8"/>
      <c r="ID275" s="8"/>
      <c r="IE275" s="8"/>
      <c r="IF275" s="8"/>
      <c r="IG275" s="8"/>
      <c r="IH275" s="8"/>
      <c r="II275" s="8"/>
      <c r="IJ275" s="8"/>
      <c r="IK275" s="8"/>
      <c r="IL275" s="8"/>
      <c r="IM275" s="8"/>
      <c r="IN275" s="8"/>
      <c r="IO275" s="8"/>
      <c r="IP275" s="8"/>
      <c r="IQ275" s="8"/>
      <c r="IR275" s="8"/>
      <c r="IS275" s="8"/>
      <c r="IT275" s="8"/>
      <c r="IU275" s="8"/>
      <c r="IV275" s="8"/>
    </row>
    <row r="276" ht="12.75" customHeight="1">
      <c r="A276" s="8"/>
      <c r="HT276" s="8"/>
      <c r="HU276" s="8"/>
      <c r="HV276" s="8"/>
      <c r="HW276" s="8"/>
      <c r="HX276" s="8"/>
      <c r="HY276" s="8"/>
      <c r="HZ276" s="8"/>
      <c r="IA276" s="8"/>
      <c r="IB276" s="8"/>
      <c r="IC276" s="8"/>
      <c r="ID276" s="8"/>
      <c r="IE276" s="8"/>
      <c r="IF276" s="8"/>
      <c r="IG276" s="8"/>
      <c r="IH276" s="8"/>
      <c r="II276" s="8"/>
      <c r="IJ276" s="8"/>
      <c r="IK276" s="8"/>
      <c r="IL276" s="8"/>
      <c r="IM276" s="8"/>
      <c r="IN276" s="8"/>
      <c r="IO276" s="8"/>
      <c r="IP276" s="8"/>
      <c r="IQ276" s="8"/>
      <c r="IR276" s="8"/>
      <c r="IS276" s="8"/>
      <c r="IT276" s="8"/>
      <c r="IU276" s="8"/>
      <c r="IV276" s="8"/>
    </row>
    <row r="277" ht="12.75" customHeight="1">
      <c r="A277" s="8"/>
      <c r="HT277" s="8"/>
      <c r="HU277" s="8"/>
      <c r="HV277" s="8"/>
      <c r="HW277" s="8"/>
      <c r="HX277" s="8"/>
      <c r="HY277" s="8"/>
      <c r="HZ277" s="8"/>
      <c r="IA277" s="8"/>
      <c r="IB277" s="8"/>
      <c r="IC277" s="8"/>
      <c r="ID277" s="8"/>
      <c r="IE277" s="8"/>
      <c r="IF277" s="8"/>
      <c r="IG277" s="8"/>
      <c r="IH277" s="8"/>
      <c r="II277" s="8"/>
      <c r="IJ277" s="8"/>
      <c r="IK277" s="8"/>
      <c r="IL277" s="8"/>
      <c r="IM277" s="8"/>
      <c r="IN277" s="8"/>
      <c r="IO277" s="8"/>
      <c r="IP277" s="8"/>
      <c r="IQ277" s="8"/>
      <c r="IR277" s="8"/>
      <c r="IS277" s="8"/>
      <c r="IT277" s="8"/>
      <c r="IU277" s="8"/>
      <c r="IV277" s="8"/>
    </row>
    <row r="278" ht="12.75" customHeight="1">
      <c r="A278" s="8"/>
      <c r="HT278" s="8"/>
      <c r="HU278" s="8"/>
      <c r="HV278" s="8"/>
      <c r="HW278" s="8"/>
      <c r="HX278" s="8"/>
      <c r="HY278" s="8"/>
      <c r="HZ278" s="8"/>
      <c r="IA278" s="8"/>
      <c r="IB278" s="8"/>
      <c r="IC278" s="8"/>
      <c r="ID278" s="8"/>
      <c r="IE278" s="8"/>
      <c r="IF278" s="8"/>
      <c r="IG278" s="8"/>
      <c r="IH278" s="8"/>
      <c r="II278" s="8"/>
      <c r="IJ278" s="8"/>
      <c r="IK278" s="8"/>
      <c r="IL278" s="8"/>
      <c r="IM278" s="8"/>
      <c r="IN278" s="8"/>
      <c r="IO278" s="8"/>
      <c r="IP278" s="8"/>
      <c r="IQ278" s="8"/>
      <c r="IR278" s="8"/>
      <c r="IS278" s="8"/>
      <c r="IT278" s="8"/>
      <c r="IU278" s="8"/>
      <c r="IV278" s="8"/>
    </row>
    <row r="279" ht="12.75" customHeight="1">
      <c r="A279" s="8"/>
      <c r="HT279" s="8"/>
      <c r="HU279" s="8"/>
      <c r="HV279" s="8"/>
      <c r="HW279" s="8"/>
      <c r="HX279" s="8"/>
      <c r="HY279" s="8"/>
      <c r="HZ279" s="8"/>
      <c r="IA279" s="8"/>
      <c r="IB279" s="8"/>
      <c r="IC279" s="8"/>
      <c r="ID279" s="8"/>
      <c r="IE279" s="8"/>
      <c r="IF279" s="8"/>
      <c r="IG279" s="8"/>
      <c r="IH279" s="8"/>
      <c r="II279" s="8"/>
      <c r="IJ279" s="8"/>
      <c r="IK279" s="8"/>
      <c r="IL279" s="8"/>
      <c r="IM279" s="8"/>
      <c r="IN279" s="8"/>
      <c r="IO279" s="8"/>
      <c r="IP279" s="8"/>
      <c r="IQ279" s="8"/>
      <c r="IR279" s="8"/>
      <c r="IS279" s="8"/>
      <c r="IT279" s="8"/>
      <c r="IU279" s="8"/>
      <c r="IV279" s="8"/>
    </row>
    <row r="280" ht="12.75" customHeight="1">
      <c r="A280" s="8"/>
      <c r="HT280" s="8"/>
      <c r="HU280" s="8"/>
      <c r="HV280" s="8"/>
      <c r="HW280" s="8"/>
      <c r="HX280" s="8"/>
      <c r="HY280" s="8"/>
      <c r="HZ280" s="8"/>
      <c r="IA280" s="8"/>
      <c r="IB280" s="8"/>
      <c r="IC280" s="8"/>
      <c r="ID280" s="8"/>
      <c r="IE280" s="8"/>
      <c r="IF280" s="8"/>
      <c r="IG280" s="8"/>
      <c r="IH280" s="8"/>
      <c r="II280" s="8"/>
      <c r="IJ280" s="8"/>
      <c r="IK280" s="8"/>
      <c r="IL280" s="8"/>
      <c r="IM280" s="8"/>
      <c r="IN280" s="8"/>
      <c r="IO280" s="8"/>
      <c r="IP280" s="8"/>
      <c r="IQ280" s="8"/>
      <c r="IR280" s="8"/>
      <c r="IS280" s="8"/>
      <c r="IT280" s="8"/>
      <c r="IU280" s="8"/>
      <c r="IV280" s="8"/>
    </row>
    <row r="281" ht="12.75" customHeight="1">
      <c r="A281" s="8"/>
      <c r="HT281" s="8"/>
      <c r="HU281" s="8"/>
      <c r="HV281" s="8"/>
      <c r="HW281" s="8"/>
      <c r="HX281" s="8"/>
      <c r="HY281" s="8"/>
      <c r="HZ281" s="8"/>
      <c r="IA281" s="8"/>
      <c r="IB281" s="8"/>
      <c r="IC281" s="8"/>
      <c r="ID281" s="8"/>
      <c r="IE281" s="8"/>
      <c r="IF281" s="8"/>
      <c r="IG281" s="8"/>
      <c r="IH281" s="8"/>
      <c r="II281" s="8"/>
      <c r="IJ281" s="8"/>
      <c r="IK281" s="8"/>
      <c r="IL281" s="8"/>
      <c r="IM281" s="8"/>
      <c r="IN281" s="8"/>
      <c r="IO281" s="8"/>
      <c r="IP281" s="8"/>
      <c r="IQ281" s="8"/>
      <c r="IR281" s="8"/>
      <c r="IS281" s="8"/>
      <c r="IT281" s="8"/>
      <c r="IU281" s="8"/>
      <c r="IV281" s="8"/>
    </row>
    <row r="282" ht="12.75" customHeight="1">
      <c r="A282" s="8"/>
      <c r="HT282" s="8"/>
      <c r="HU282" s="8"/>
      <c r="HV282" s="8"/>
      <c r="HW282" s="8"/>
      <c r="HX282" s="8"/>
      <c r="HY282" s="8"/>
      <c r="HZ282" s="8"/>
      <c r="IA282" s="8"/>
      <c r="IB282" s="8"/>
      <c r="IC282" s="8"/>
      <c r="ID282" s="8"/>
      <c r="IE282" s="8"/>
      <c r="IF282" s="8"/>
      <c r="IG282" s="8"/>
      <c r="IH282" s="8"/>
      <c r="II282" s="8"/>
      <c r="IJ282" s="8"/>
      <c r="IK282" s="8"/>
      <c r="IL282" s="8"/>
      <c r="IM282" s="8"/>
      <c r="IN282" s="8"/>
      <c r="IO282" s="8"/>
      <c r="IP282" s="8"/>
      <c r="IQ282" s="8"/>
      <c r="IR282" s="8"/>
      <c r="IS282" s="8"/>
      <c r="IT282" s="8"/>
      <c r="IU282" s="8"/>
      <c r="IV282" s="8"/>
    </row>
    <row r="283" ht="12.75" customHeight="1">
      <c r="A283" s="8"/>
      <c r="HT283" s="8"/>
      <c r="HU283" s="8"/>
      <c r="HV283" s="8"/>
      <c r="HW283" s="8"/>
      <c r="HX283" s="8"/>
      <c r="HY283" s="8"/>
      <c r="HZ283" s="8"/>
      <c r="IA283" s="8"/>
      <c r="IB283" s="8"/>
      <c r="IC283" s="8"/>
      <c r="ID283" s="8"/>
      <c r="IE283" s="8"/>
      <c r="IF283" s="8"/>
      <c r="IG283" s="8"/>
      <c r="IH283" s="8"/>
      <c r="II283" s="8"/>
      <c r="IJ283" s="8"/>
      <c r="IK283" s="8"/>
      <c r="IL283" s="8"/>
      <c r="IM283" s="8"/>
      <c r="IN283" s="8"/>
      <c r="IO283" s="8"/>
      <c r="IP283" s="8"/>
      <c r="IQ283" s="8"/>
      <c r="IR283" s="8"/>
      <c r="IS283" s="8"/>
      <c r="IT283" s="8"/>
      <c r="IU283" s="8"/>
      <c r="IV283" s="8"/>
    </row>
    <row r="284" ht="12.75" customHeight="1">
      <c r="A284" s="8"/>
      <c r="HT284" s="8"/>
      <c r="HU284" s="8"/>
      <c r="HV284" s="8"/>
      <c r="HW284" s="8"/>
      <c r="HX284" s="8"/>
      <c r="HY284" s="8"/>
      <c r="HZ284" s="8"/>
      <c r="IA284" s="8"/>
      <c r="IB284" s="8"/>
      <c r="IC284" s="8"/>
      <c r="ID284" s="8"/>
      <c r="IE284" s="8"/>
      <c r="IF284" s="8"/>
      <c r="IG284" s="8"/>
      <c r="IH284" s="8"/>
      <c r="II284" s="8"/>
      <c r="IJ284" s="8"/>
      <c r="IK284" s="8"/>
      <c r="IL284" s="8"/>
      <c r="IM284" s="8"/>
      <c r="IN284" s="8"/>
      <c r="IO284" s="8"/>
      <c r="IP284" s="8"/>
      <c r="IQ284" s="8"/>
      <c r="IR284" s="8"/>
      <c r="IS284" s="8"/>
      <c r="IT284" s="8"/>
      <c r="IU284" s="8"/>
      <c r="IV284" s="8"/>
    </row>
    <row r="285" ht="12.75" customHeight="1">
      <c r="A285" s="8"/>
      <c r="HT285" s="8"/>
      <c r="HU285" s="8"/>
      <c r="HV285" s="8"/>
      <c r="HW285" s="8"/>
      <c r="HX285" s="8"/>
      <c r="HY285" s="8"/>
      <c r="HZ285" s="8"/>
      <c r="IA285" s="8"/>
      <c r="IB285" s="8"/>
      <c r="IC285" s="8"/>
      <c r="ID285" s="8"/>
      <c r="IE285" s="8"/>
      <c r="IF285" s="8"/>
      <c r="IG285" s="8"/>
      <c r="IH285" s="8"/>
      <c r="II285" s="8"/>
      <c r="IJ285" s="8"/>
      <c r="IK285" s="8"/>
      <c r="IL285" s="8"/>
      <c r="IM285" s="8"/>
      <c r="IN285" s="8"/>
      <c r="IO285" s="8"/>
      <c r="IP285" s="8"/>
      <c r="IQ285" s="8"/>
      <c r="IR285" s="8"/>
      <c r="IS285" s="8"/>
      <c r="IT285" s="8"/>
      <c r="IU285" s="8"/>
      <c r="IV285" s="8"/>
    </row>
    <row r="286" ht="12.75" customHeight="1">
      <c r="A286" s="8"/>
      <c r="HT286" s="8"/>
      <c r="HU286" s="8"/>
      <c r="HV286" s="8"/>
      <c r="HW286" s="8"/>
      <c r="HX286" s="8"/>
      <c r="HY286" s="8"/>
      <c r="HZ286" s="8"/>
      <c r="IA286" s="8"/>
      <c r="IB286" s="8"/>
      <c r="IC286" s="8"/>
      <c r="ID286" s="8"/>
      <c r="IE286" s="8"/>
      <c r="IF286" s="8"/>
      <c r="IG286" s="8"/>
      <c r="IH286" s="8"/>
      <c r="II286" s="8"/>
      <c r="IJ286" s="8"/>
      <c r="IK286" s="8"/>
      <c r="IL286" s="8"/>
      <c r="IM286" s="8"/>
      <c r="IN286" s="8"/>
      <c r="IO286" s="8"/>
      <c r="IP286" s="8"/>
      <c r="IQ286" s="8"/>
      <c r="IR286" s="8"/>
      <c r="IS286" s="8"/>
      <c r="IT286" s="8"/>
      <c r="IU286" s="8"/>
      <c r="IV286" s="8"/>
    </row>
    <row r="287" ht="12.75" customHeight="1">
      <c r="A287" s="8"/>
      <c r="HT287" s="8"/>
      <c r="HU287" s="8"/>
      <c r="HV287" s="8"/>
      <c r="HW287" s="8"/>
      <c r="HX287" s="8"/>
      <c r="HY287" s="8"/>
      <c r="HZ287" s="8"/>
      <c r="IA287" s="8"/>
      <c r="IB287" s="8"/>
      <c r="IC287" s="8"/>
      <c r="ID287" s="8"/>
      <c r="IE287" s="8"/>
      <c r="IF287" s="8"/>
      <c r="IG287" s="8"/>
      <c r="IH287" s="8"/>
      <c r="II287" s="8"/>
      <c r="IJ287" s="8"/>
      <c r="IK287" s="8"/>
      <c r="IL287" s="8"/>
      <c r="IM287" s="8"/>
      <c r="IN287" s="8"/>
      <c r="IO287" s="8"/>
      <c r="IP287" s="8"/>
      <c r="IQ287" s="8"/>
      <c r="IR287" s="8"/>
      <c r="IS287" s="8"/>
      <c r="IT287" s="8"/>
      <c r="IU287" s="8"/>
      <c r="IV287" s="8"/>
    </row>
    <row r="288" ht="12.75" customHeight="1">
      <c r="A288" s="8"/>
      <c r="HT288" s="8"/>
      <c r="HU288" s="8"/>
      <c r="HV288" s="8"/>
      <c r="HW288" s="8"/>
      <c r="HX288" s="8"/>
      <c r="HY288" s="8"/>
      <c r="HZ288" s="8"/>
      <c r="IA288" s="8"/>
      <c r="IB288" s="8"/>
      <c r="IC288" s="8"/>
      <c r="ID288" s="8"/>
      <c r="IE288" s="8"/>
      <c r="IF288" s="8"/>
      <c r="IG288" s="8"/>
      <c r="IH288" s="8"/>
      <c r="II288" s="8"/>
      <c r="IJ288" s="8"/>
      <c r="IK288" s="8"/>
      <c r="IL288" s="8"/>
      <c r="IM288" s="8"/>
      <c r="IN288" s="8"/>
      <c r="IO288" s="8"/>
      <c r="IP288" s="8"/>
      <c r="IQ288" s="8"/>
      <c r="IR288" s="8"/>
      <c r="IS288" s="8"/>
      <c r="IT288" s="8"/>
      <c r="IU288" s="8"/>
      <c r="IV288" s="8"/>
    </row>
    <row r="289" ht="12.75" customHeight="1">
      <c r="A289" s="8"/>
      <c r="HT289" s="8"/>
      <c r="HU289" s="8"/>
      <c r="HV289" s="8"/>
      <c r="HW289" s="8"/>
      <c r="HX289" s="8"/>
      <c r="HY289" s="8"/>
      <c r="HZ289" s="8"/>
      <c r="IA289" s="8"/>
      <c r="IB289" s="8"/>
      <c r="IC289" s="8"/>
      <c r="ID289" s="8"/>
      <c r="IE289" s="8"/>
      <c r="IF289" s="8"/>
      <c r="IG289" s="8"/>
      <c r="IH289" s="8"/>
      <c r="II289" s="8"/>
      <c r="IJ289" s="8"/>
      <c r="IK289" s="8"/>
      <c r="IL289" s="8"/>
      <c r="IM289" s="8"/>
      <c r="IN289" s="8"/>
      <c r="IO289" s="8"/>
      <c r="IP289" s="8"/>
      <c r="IQ289" s="8"/>
      <c r="IR289" s="8"/>
      <c r="IS289" s="8"/>
      <c r="IT289" s="8"/>
      <c r="IU289" s="8"/>
      <c r="IV289" s="8"/>
    </row>
    <row r="290" ht="12.75" customHeight="1">
      <c r="A290" s="8"/>
      <c r="HT290" s="8"/>
      <c r="HU290" s="8"/>
      <c r="HV290" s="8"/>
      <c r="HW290" s="8"/>
      <c r="HX290" s="8"/>
      <c r="HY290" s="8"/>
      <c r="HZ290" s="8"/>
      <c r="IA290" s="8"/>
      <c r="IB290" s="8"/>
      <c r="IC290" s="8"/>
      <c r="ID290" s="8"/>
      <c r="IE290" s="8"/>
      <c r="IF290" s="8"/>
      <c r="IG290" s="8"/>
      <c r="IH290" s="8"/>
      <c r="II290" s="8"/>
      <c r="IJ290" s="8"/>
      <c r="IK290" s="8"/>
      <c r="IL290" s="8"/>
      <c r="IM290" s="8"/>
      <c r="IN290" s="8"/>
      <c r="IO290" s="8"/>
      <c r="IP290" s="8"/>
      <c r="IQ290" s="8"/>
      <c r="IR290" s="8"/>
      <c r="IS290" s="8"/>
      <c r="IT290" s="8"/>
      <c r="IU290" s="8"/>
      <c r="IV290" s="8"/>
    </row>
    <row r="291" ht="12.75" customHeight="1">
      <c r="A291" s="8"/>
      <c r="HT291" s="8"/>
      <c r="HU291" s="8"/>
      <c r="HV291" s="8"/>
      <c r="HW291" s="8"/>
      <c r="HX291" s="8"/>
      <c r="HY291" s="8"/>
      <c r="HZ291" s="8"/>
      <c r="IA291" s="8"/>
      <c r="IB291" s="8"/>
      <c r="IC291" s="8"/>
      <c r="ID291" s="8"/>
      <c r="IE291" s="8"/>
      <c r="IF291" s="8"/>
      <c r="IG291" s="8"/>
      <c r="IH291" s="8"/>
      <c r="II291" s="8"/>
      <c r="IJ291" s="8"/>
      <c r="IK291" s="8"/>
      <c r="IL291" s="8"/>
      <c r="IM291" s="8"/>
      <c r="IN291" s="8"/>
      <c r="IO291" s="8"/>
      <c r="IP291" s="8"/>
      <c r="IQ291" s="8"/>
      <c r="IR291" s="8"/>
      <c r="IS291" s="8"/>
      <c r="IT291" s="8"/>
      <c r="IU291" s="8"/>
      <c r="IV291" s="8"/>
    </row>
    <row r="292" ht="12.75" customHeight="1">
      <c r="A292" s="8"/>
      <c r="HT292" s="8"/>
      <c r="HU292" s="8"/>
      <c r="HV292" s="8"/>
      <c r="HW292" s="8"/>
      <c r="HX292" s="8"/>
      <c r="HY292" s="8"/>
      <c r="HZ292" s="8"/>
      <c r="IA292" s="8"/>
      <c r="IB292" s="8"/>
      <c r="IC292" s="8"/>
      <c r="ID292" s="8"/>
      <c r="IE292" s="8"/>
      <c r="IF292" s="8"/>
      <c r="IG292" s="8"/>
      <c r="IH292" s="8"/>
      <c r="II292" s="8"/>
      <c r="IJ292" s="8"/>
      <c r="IK292" s="8"/>
      <c r="IL292" s="8"/>
      <c r="IM292" s="8"/>
      <c r="IN292" s="8"/>
      <c r="IO292" s="8"/>
      <c r="IP292" s="8"/>
      <c r="IQ292" s="8"/>
      <c r="IR292" s="8"/>
      <c r="IS292" s="8"/>
      <c r="IT292" s="8"/>
      <c r="IU292" s="8"/>
      <c r="IV292" s="8"/>
    </row>
    <row r="293" ht="12.75" customHeight="1">
      <c r="A293" s="8"/>
      <c r="HT293" s="8"/>
      <c r="HU293" s="8"/>
      <c r="HV293" s="8"/>
      <c r="HW293" s="8"/>
      <c r="HX293" s="8"/>
      <c r="HY293" s="8"/>
      <c r="HZ293" s="8"/>
      <c r="IA293" s="8"/>
      <c r="IB293" s="8"/>
      <c r="IC293" s="8"/>
      <c r="ID293" s="8"/>
      <c r="IE293" s="8"/>
      <c r="IF293" s="8"/>
      <c r="IG293" s="8"/>
      <c r="IH293" s="8"/>
      <c r="II293" s="8"/>
      <c r="IJ293" s="8"/>
      <c r="IK293" s="8"/>
      <c r="IL293" s="8"/>
      <c r="IM293" s="8"/>
      <c r="IN293" s="8"/>
      <c r="IO293" s="8"/>
      <c r="IP293" s="8"/>
      <c r="IQ293" s="8"/>
      <c r="IR293" s="8"/>
      <c r="IS293" s="8"/>
      <c r="IT293" s="8"/>
      <c r="IU293" s="8"/>
      <c r="IV293" s="8"/>
    </row>
    <row r="294" ht="12.75" customHeight="1">
      <c r="A294" s="8"/>
      <c r="HT294" s="8"/>
      <c r="HU294" s="8"/>
      <c r="HV294" s="8"/>
      <c r="HW294" s="8"/>
      <c r="HX294" s="8"/>
      <c r="HY294" s="8"/>
      <c r="HZ294" s="8"/>
      <c r="IA294" s="8"/>
      <c r="IB294" s="8"/>
      <c r="IC294" s="8"/>
      <c r="ID294" s="8"/>
      <c r="IE294" s="8"/>
      <c r="IF294" s="8"/>
      <c r="IG294" s="8"/>
      <c r="IH294" s="8"/>
      <c r="II294" s="8"/>
      <c r="IJ294" s="8"/>
      <c r="IK294" s="8"/>
      <c r="IL294" s="8"/>
      <c r="IM294" s="8"/>
      <c r="IN294" s="8"/>
      <c r="IO294" s="8"/>
      <c r="IP294" s="8"/>
      <c r="IQ294" s="8"/>
      <c r="IR294" s="8"/>
      <c r="IS294" s="8"/>
      <c r="IT294" s="8"/>
      <c r="IU294" s="8"/>
      <c r="IV294" s="8"/>
    </row>
    <row r="295" ht="12.75" customHeight="1">
      <c r="A295" s="8"/>
      <c r="HT295" s="8"/>
      <c r="HU295" s="8"/>
      <c r="HV295" s="8"/>
      <c r="HW295" s="8"/>
      <c r="HX295" s="8"/>
      <c r="HY295" s="8"/>
      <c r="HZ295" s="8"/>
      <c r="IA295" s="8"/>
      <c r="IB295" s="8"/>
      <c r="IC295" s="8"/>
      <c r="ID295" s="8"/>
      <c r="IE295" s="8"/>
      <c r="IF295" s="8"/>
      <c r="IG295" s="8"/>
      <c r="IH295" s="8"/>
      <c r="II295" s="8"/>
      <c r="IJ295" s="8"/>
      <c r="IK295" s="8"/>
      <c r="IL295" s="8"/>
      <c r="IM295" s="8"/>
      <c r="IN295" s="8"/>
      <c r="IO295" s="8"/>
      <c r="IP295" s="8"/>
      <c r="IQ295" s="8"/>
      <c r="IR295" s="8"/>
      <c r="IS295" s="8"/>
      <c r="IT295" s="8"/>
      <c r="IU295" s="8"/>
      <c r="IV295" s="8"/>
    </row>
    <row r="296" ht="12.75" customHeight="1">
      <c r="A296" s="8"/>
      <c r="HT296" s="8"/>
      <c r="HU296" s="8"/>
      <c r="HV296" s="8"/>
      <c r="HW296" s="8"/>
      <c r="HX296" s="8"/>
      <c r="HY296" s="8"/>
      <c r="HZ296" s="8"/>
      <c r="IA296" s="8"/>
      <c r="IB296" s="8"/>
      <c r="IC296" s="8"/>
      <c r="ID296" s="8"/>
      <c r="IE296" s="8"/>
      <c r="IF296" s="8"/>
      <c r="IG296" s="8"/>
      <c r="IH296" s="8"/>
      <c r="II296" s="8"/>
      <c r="IJ296" s="8"/>
      <c r="IK296" s="8"/>
      <c r="IL296" s="8"/>
      <c r="IM296" s="8"/>
      <c r="IN296" s="8"/>
      <c r="IO296" s="8"/>
      <c r="IP296" s="8"/>
      <c r="IQ296" s="8"/>
      <c r="IR296" s="8"/>
      <c r="IS296" s="8"/>
      <c r="IT296" s="8"/>
      <c r="IU296" s="8"/>
      <c r="IV296" s="8"/>
    </row>
    <row r="297" ht="12.75" customHeight="1">
      <c r="A297" s="8"/>
      <c r="HT297" s="8"/>
      <c r="HU297" s="8"/>
      <c r="HV297" s="8"/>
      <c r="HW297" s="8"/>
      <c r="HX297" s="8"/>
      <c r="HY297" s="8"/>
      <c r="HZ297" s="8"/>
      <c r="IA297" s="8"/>
      <c r="IB297" s="8"/>
      <c r="IC297" s="8"/>
      <c r="ID297" s="8"/>
      <c r="IE297" s="8"/>
      <c r="IF297" s="8"/>
      <c r="IG297" s="8"/>
      <c r="IH297" s="8"/>
      <c r="II297" s="8"/>
      <c r="IJ297" s="8"/>
      <c r="IK297" s="8"/>
      <c r="IL297" s="8"/>
      <c r="IM297" s="8"/>
      <c r="IN297" s="8"/>
      <c r="IO297" s="8"/>
      <c r="IP297" s="8"/>
      <c r="IQ297" s="8"/>
      <c r="IR297" s="8"/>
      <c r="IS297" s="8"/>
      <c r="IT297" s="8"/>
      <c r="IU297" s="8"/>
      <c r="IV297" s="8"/>
    </row>
    <row r="298" ht="12.75" customHeight="1">
      <c r="A298" s="8"/>
      <c r="HT298" s="8"/>
      <c r="HU298" s="8"/>
      <c r="HV298" s="8"/>
      <c r="HW298" s="8"/>
      <c r="HX298" s="8"/>
      <c r="HY298" s="8"/>
      <c r="HZ298" s="8"/>
      <c r="IA298" s="8"/>
      <c r="IB298" s="8"/>
      <c r="IC298" s="8"/>
      <c r="ID298" s="8"/>
      <c r="IE298" s="8"/>
      <c r="IF298" s="8"/>
      <c r="IG298" s="8"/>
      <c r="IH298" s="8"/>
      <c r="II298" s="8"/>
      <c r="IJ298" s="8"/>
      <c r="IK298" s="8"/>
      <c r="IL298" s="8"/>
      <c r="IM298" s="8"/>
      <c r="IN298" s="8"/>
      <c r="IO298" s="8"/>
      <c r="IP298" s="8"/>
      <c r="IQ298" s="8"/>
      <c r="IR298" s="8"/>
      <c r="IS298" s="8"/>
      <c r="IT298" s="8"/>
      <c r="IU298" s="8"/>
      <c r="IV298" s="8"/>
    </row>
    <row r="299" ht="12.75" customHeight="1">
      <c r="A299" s="8"/>
      <c r="HT299" s="8"/>
      <c r="HU299" s="8"/>
      <c r="HV299" s="8"/>
      <c r="HW299" s="8"/>
      <c r="HX299" s="8"/>
      <c r="HY299" s="8"/>
      <c r="HZ299" s="8"/>
      <c r="IA299" s="8"/>
      <c r="IB299" s="8"/>
      <c r="IC299" s="8"/>
      <c r="ID299" s="8"/>
      <c r="IE299" s="8"/>
      <c r="IF299" s="8"/>
      <c r="IG299" s="8"/>
      <c r="IH299" s="8"/>
      <c r="II299" s="8"/>
      <c r="IJ299" s="8"/>
      <c r="IK299" s="8"/>
      <c r="IL299" s="8"/>
      <c r="IM299" s="8"/>
      <c r="IN299" s="8"/>
      <c r="IO299" s="8"/>
      <c r="IP299" s="8"/>
      <c r="IQ299" s="8"/>
      <c r="IR299" s="8"/>
      <c r="IS299" s="8"/>
      <c r="IT299" s="8"/>
      <c r="IU299" s="8"/>
      <c r="IV299" s="8"/>
    </row>
    <row r="300" ht="12.75" customHeight="1">
      <c r="A300" s="8"/>
      <c r="HT300" s="8"/>
      <c r="HU300" s="8"/>
      <c r="HV300" s="8"/>
      <c r="HW300" s="8"/>
      <c r="HX300" s="8"/>
      <c r="HY300" s="8"/>
      <c r="HZ300" s="8"/>
      <c r="IA300" s="8"/>
      <c r="IB300" s="8"/>
      <c r="IC300" s="8"/>
      <c r="ID300" s="8"/>
      <c r="IE300" s="8"/>
      <c r="IF300" s="8"/>
      <c r="IG300" s="8"/>
      <c r="IH300" s="8"/>
      <c r="II300" s="8"/>
      <c r="IJ300" s="8"/>
      <c r="IK300" s="8"/>
      <c r="IL300" s="8"/>
      <c r="IM300" s="8"/>
      <c r="IN300" s="8"/>
      <c r="IO300" s="8"/>
      <c r="IP300" s="8"/>
      <c r="IQ300" s="8"/>
      <c r="IR300" s="8"/>
      <c r="IS300" s="8"/>
      <c r="IT300" s="8"/>
      <c r="IU300" s="8"/>
      <c r="IV300" s="8"/>
    </row>
    <row r="301" ht="12.75" customHeight="1">
      <c r="A301" s="8"/>
      <c r="HT301" s="8"/>
      <c r="HU301" s="8"/>
      <c r="HV301" s="8"/>
      <c r="HW301" s="8"/>
      <c r="HX301" s="8"/>
      <c r="HY301" s="8"/>
      <c r="HZ301" s="8"/>
      <c r="IA301" s="8"/>
      <c r="IB301" s="8"/>
      <c r="IC301" s="8"/>
      <c r="ID301" s="8"/>
      <c r="IE301" s="8"/>
      <c r="IF301" s="8"/>
      <c r="IG301" s="8"/>
      <c r="IH301" s="8"/>
      <c r="II301" s="8"/>
      <c r="IJ301" s="8"/>
      <c r="IK301" s="8"/>
      <c r="IL301" s="8"/>
      <c r="IM301" s="8"/>
      <c r="IN301" s="8"/>
      <c r="IO301" s="8"/>
      <c r="IP301" s="8"/>
      <c r="IQ301" s="8"/>
      <c r="IR301" s="8"/>
      <c r="IS301" s="8"/>
      <c r="IT301" s="8"/>
      <c r="IU301" s="8"/>
      <c r="IV301" s="8"/>
    </row>
    <row r="302" ht="12.75" customHeight="1">
      <c r="A302" s="8"/>
      <c r="HT302" s="8"/>
      <c r="HU302" s="8"/>
      <c r="HV302" s="8"/>
      <c r="HW302" s="8"/>
      <c r="HX302" s="8"/>
      <c r="HY302" s="8"/>
      <c r="HZ302" s="8"/>
      <c r="IA302" s="8"/>
      <c r="IB302" s="8"/>
      <c r="IC302" s="8"/>
      <c r="ID302" s="8"/>
      <c r="IE302" s="8"/>
      <c r="IF302" s="8"/>
      <c r="IG302" s="8"/>
      <c r="IH302" s="8"/>
      <c r="II302" s="8"/>
      <c r="IJ302" s="8"/>
      <c r="IK302" s="8"/>
      <c r="IL302" s="8"/>
      <c r="IM302" s="8"/>
      <c r="IN302" s="8"/>
      <c r="IO302" s="8"/>
      <c r="IP302" s="8"/>
      <c r="IQ302" s="8"/>
      <c r="IR302" s="8"/>
      <c r="IS302" s="8"/>
      <c r="IT302" s="8"/>
      <c r="IU302" s="8"/>
      <c r="IV302" s="8"/>
    </row>
    <row r="303" ht="12.75" customHeight="1">
      <c r="A303" s="8"/>
      <c r="HT303" s="8"/>
      <c r="HU303" s="8"/>
      <c r="HV303" s="8"/>
      <c r="HW303" s="8"/>
      <c r="HX303" s="8"/>
      <c r="HY303" s="8"/>
      <c r="HZ303" s="8"/>
      <c r="IA303" s="8"/>
      <c r="IB303" s="8"/>
      <c r="IC303" s="8"/>
      <c r="ID303" s="8"/>
      <c r="IE303" s="8"/>
      <c r="IF303" s="8"/>
      <c r="IG303" s="8"/>
      <c r="IH303" s="8"/>
      <c r="II303" s="8"/>
      <c r="IJ303" s="8"/>
      <c r="IK303" s="8"/>
      <c r="IL303" s="8"/>
      <c r="IM303" s="8"/>
      <c r="IN303" s="8"/>
      <c r="IO303" s="8"/>
      <c r="IP303" s="8"/>
      <c r="IQ303" s="8"/>
      <c r="IR303" s="8"/>
      <c r="IS303" s="8"/>
      <c r="IT303" s="8"/>
      <c r="IU303" s="8"/>
      <c r="IV303" s="8"/>
    </row>
    <row r="304" ht="12.75" customHeight="1">
      <c r="A304" s="8"/>
      <c r="HT304" s="8"/>
      <c r="HU304" s="8"/>
      <c r="HV304" s="8"/>
      <c r="HW304" s="8"/>
      <c r="HX304" s="8"/>
      <c r="HY304" s="8"/>
      <c r="HZ304" s="8"/>
      <c r="IA304" s="8"/>
      <c r="IB304" s="8"/>
      <c r="IC304" s="8"/>
      <c r="ID304" s="8"/>
      <c r="IE304" s="8"/>
      <c r="IF304" s="8"/>
      <c r="IG304" s="8"/>
      <c r="IH304" s="8"/>
      <c r="II304" s="8"/>
      <c r="IJ304" s="8"/>
      <c r="IK304" s="8"/>
      <c r="IL304" s="8"/>
      <c r="IM304" s="8"/>
      <c r="IN304" s="8"/>
      <c r="IO304" s="8"/>
      <c r="IP304" s="8"/>
      <c r="IQ304" s="8"/>
      <c r="IR304" s="8"/>
      <c r="IS304" s="8"/>
      <c r="IT304" s="8"/>
      <c r="IU304" s="8"/>
      <c r="IV304" s="8"/>
    </row>
    <row r="305" ht="12.75" customHeight="1">
      <c r="A305" s="8"/>
      <c r="HT305" s="8"/>
      <c r="HU305" s="8"/>
      <c r="HV305" s="8"/>
      <c r="HW305" s="8"/>
      <c r="HX305" s="8"/>
      <c r="HY305" s="8"/>
      <c r="HZ305" s="8"/>
      <c r="IA305" s="8"/>
      <c r="IB305" s="8"/>
      <c r="IC305" s="8"/>
      <c r="ID305" s="8"/>
      <c r="IE305" s="8"/>
      <c r="IF305" s="8"/>
      <c r="IG305" s="8"/>
      <c r="IH305" s="8"/>
      <c r="II305" s="8"/>
      <c r="IJ305" s="8"/>
      <c r="IK305" s="8"/>
      <c r="IL305" s="8"/>
      <c r="IM305" s="8"/>
      <c r="IN305" s="8"/>
      <c r="IO305" s="8"/>
      <c r="IP305" s="8"/>
      <c r="IQ305" s="8"/>
      <c r="IR305" s="8"/>
      <c r="IS305" s="8"/>
      <c r="IT305" s="8"/>
      <c r="IU305" s="8"/>
      <c r="IV305" s="8"/>
    </row>
    <row r="306" ht="12.75" customHeight="1">
      <c r="A306" s="8"/>
      <c r="HT306" s="8"/>
      <c r="HU306" s="8"/>
      <c r="HV306" s="8"/>
      <c r="HW306" s="8"/>
      <c r="HX306" s="8"/>
      <c r="HY306" s="8"/>
      <c r="HZ306" s="8"/>
      <c r="IA306" s="8"/>
      <c r="IB306" s="8"/>
      <c r="IC306" s="8"/>
      <c r="ID306" s="8"/>
      <c r="IE306" s="8"/>
      <c r="IF306" s="8"/>
      <c r="IG306" s="8"/>
      <c r="IH306" s="8"/>
      <c r="II306" s="8"/>
      <c r="IJ306" s="8"/>
      <c r="IK306" s="8"/>
      <c r="IL306" s="8"/>
      <c r="IM306" s="8"/>
      <c r="IN306" s="8"/>
      <c r="IO306" s="8"/>
      <c r="IP306" s="8"/>
      <c r="IQ306" s="8"/>
      <c r="IR306" s="8"/>
      <c r="IS306" s="8"/>
      <c r="IT306" s="8"/>
      <c r="IU306" s="8"/>
      <c r="IV306" s="8"/>
    </row>
    <row r="307" ht="12.75" customHeight="1">
      <c r="A307" s="8"/>
      <c r="HT307" s="8"/>
      <c r="HU307" s="8"/>
      <c r="HV307" s="8"/>
      <c r="HW307" s="8"/>
      <c r="HX307" s="8"/>
      <c r="HY307" s="8"/>
      <c r="HZ307" s="8"/>
      <c r="IA307" s="8"/>
      <c r="IB307" s="8"/>
      <c r="IC307" s="8"/>
      <c r="ID307" s="8"/>
      <c r="IE307" s="8"/>
      <c r="IF307" s="8"/>
      <c r="IG307" s="8"/>
      <c r="IH307" s="8"/>
      <c r="II307" s="8"/>
      <c r="IJ307" s="8"/>
      <c r="IK307" s="8"/>
      <c r="IL307" s="8"/>
      <c r="IM307" s="8"/>
      <c r="IN307" s="8"/>
      <c r="IO307" s="8"/>
      <c r="IP307" s="8"/>
      <c r="IQ307" s="8"/>
      <c r="IR307" s="8"/>
      <c r="IS307" s="8"/>
      <c r="IT307" s="8"/>
      <c r="IU307" s="8"/>
      <c r="IV307" s="8"/>
    </row>
    <row r="308" ht="12.75" customHeight="1">
      <c r="A308" s="8"/>
      <c r="HT308" s="8"/>
      <c r="HU308" s="8"/>
      <c r="HV308" s="8"/>
      <c r="HW308" s="8"/>
      <c r="HX308" s="8"/>
      <c r="HY308" s="8"/>
      <c r="HZ308" s="8"/>
      <c r="IA308" s="8"/>
      <c r="IB308" s="8"/>
      <c r="IC308" s="8"/>
      <c r="ID308" s="8"/>
      <c r="IE308" s="8"/>
      <c r="IF308" s="8"/>
      <c r="IG308" s="8"/>
      <c r="IH308" s="8"/>
      <c r="II308" s="8"/>
      <c r="IJ308" s="8"/>
      <c r="IK308" s="8"/>
      <c r="IL308" s="8"/>
      <c r="IM308" s="8"/>
      <c r="IN308" s="8"/>
      <c r="IO308" s="8"/>
      <c r="IP308" s="8"/>
      <c r="IQ308" s="8"/>
      <c r="IR308" s="8"/>
      <c r="IS308" s="8"/>
      <c r="IT308" s="8"/>
      <c r="IU308" s="8"/>
      <c r="IV308" s="8"/>
    </row>
    <row r="309" ht="12.75" customHeight="1">
      <c r="A309" s="8"/>
      <c r="HT309" s="8"/>
      <c r="HU309" s="8"/>
      <c r="HV309" s="8"/>
      <c r="HW309" s="8"/>
      <c r="HX309" s="8"/>
      <c r="HY309" s="8"/>
      <c r="HZ309" s="8"/>
      <c r="IA309" s="8"/>
      <c r="IB309" s="8"/>
      <c r="IC309" s="8"/>
      <c r="ID309" s="8"/>
      <c r="IE309" s="8"/>
      <c r="IF309" s="8"/>
      <c r="IG309" s="8"/>
      <c r="IH309" s="8"/>
      <c r="II309" s="8"/>
      <c r="IJ309" s="8"/>
      <c r="IK309" s="8"/>
      <c r="IL309" s="8"/>
      <c r="IM309" s="8"/>
      <c r="IN309" s="8"/>
      <c r="IO309" s="8"/>
      <c r="IP309" s="8"/>
      <c r="IQ309" s="8"/>
      <c r="IR309" s="8"/>
      <c r="IS309" s="8"/>
      <c r="IT309" s="8"/>
      <c r="IU309" s="8"/>
      <c r="IV309" s="8"/>
    </row>
    <row r="310" ht="12.75" customHeight="1">
      <c r="A310" s="8"/>
      <c r="HT310" s="8"/>
      <c r="HU310" s="8"/>
      <c r="HV310" s="8"/>
      <c r="HW310" s="8"/>
      <c r="HX310" s="8"/>
      <c r="HY310" s="8"/>
      <c r="HZ310" s="8"/>
      <c r="IA310" s="8"/>
      <c r="IB310" s="8"/>
      <c r="IC310" s="8"/>
      <c r="ID310" s="8"/>
      <c r="IE310" s="8"/>
      <c r="IF310" s="8"/>
      <c r="IG310" s="8"/>
      <c r="IH310" s="8"/>
      <c r="II310" s="8"/>
      <c r="IJ310" s="8"/>
      <c r="IK310" s="8"/>
      <c r="IL310" s="8"/>
      <c r="IM310" s="8"/>
      <c r="IN310" s="8"/>
      <c r="IO310" s="8"/>
      <c r="IP310" s="8"/>
      <c r="IQ310" s="8"/>
      <c r="IR310" s="8"/>
      <c r="IS310" s="8"/>
      <c r="IT310" s="8"/>
      <c r="IU310" s="8"/>
      <c r="IV310" s="8"/>
    </row>
    <row r="311" ht="12.75" customHeight="1">
      <c r="A311" s="8"/>
      <c r="HT311" s="8"/>
      <c r="HU311" s="8"/>
      <c r="HV311" s="8"/>
      <c r="HW311" s="8"/>
      <c r="HX311" s="8"/>
      <c r="HY311" s="8"/>
      <c r="HZ311" s="8"/>
      <c r="IA311" s="8"/>
      <c r="IB311" s="8"/>
      <c r="IC311" s="8"/>
      <c r="ID311" s="8"/>
      <c r="IE311" s="8"/>
      <c r="IF311" s="8"/>
      <c r="IG311" s="8"/>
      <c r="IH311" s="8"/>
      <c r="II311" s="8"/>
      <c r="IJ311" s="8"/>
      <c r="IK311" s="8"/>
      <c r="IL311" s="8"/>
      <c r="IM311" s="8"/>
      <c r="IN311" s="8"/>
      <c r="IO311" s="8"/>
      <c r="IP311" s="8"/>
      <c r="IQ311" s="8"/>
      <c r="IR311" s="8"/>
      <c r="IS311" s="8"/>
      <c r="IT311" s="8"/>
      <c r="IU311" s="8"/>
      <c r="IV311" s="8"/>
    </row>
    <row r="312" ht="12.75" customHeight="1">
      <c r="A312" s="8"/>
      <c r="HT312" s="8"/>
      <c r="HU312" s="8"/>
      <c r="HV312" s="8"/>
      <c r="HW312" s="8"/>
      <c r="HX312" s="8"/>
      <c r="HY312" s="8"/>
      <c r="HZ312" s="8"/>
      <c r="IA312" s="8"/>
      <c r="IB312" s="8"/>
      <c r="IC312" s="8"/>
      <c r="ID312" s="8"/>
      <c r="IE312" s="8"/>
      <c r="IF312" s="8"/>
      <c r="IG312" s="8"/>
      <c r="IH312" s="8"/>
      <c r="II312" s="8"/>
      <c r="IJ312" s="8"/>
      <c r="IK312" s="8"/>
      <c r="IL312" s="8"/>
      <c r="IM312" s="8"/>
      <c r="IN312" s="8"/>
      <c r="IO312" s="8"/>
      <c r="IP312" s="8"/>
      <c r="IQ312" s="8"/>
      <c r="IR312" s="8"/>
      <c r="IS312" s="8"/>
      <c r="IT312" s="8"/>
      <c r="IU312" s="8"/>
      <c r="IV312" s="8"/>
    </row>
    <row r="313" ht="12.75" customHeight="1">
      <c r="A313" s="8"/>
      <c r="HT313" s="8"/>
      <c r="HU313" s="8"/>
      <c r="HV313" s="8"/>
      <c r="HW313" s="8"/>
      <c r="HX313" s="8"/>
      <c r="HY313" s="8"/>
      <c r="HZ313" s="8"/>
      <c r="IA313" s="8"/>
      <c r="IB313" s="8"/>
      <c r="IC313" s="8"/>
      <c r="ID313" s="8"/>
      <c r="IE313" s="8"/>
      <c r="IF313" s="8"/>
      <c r="IG313" s="8"/>
      <c r="IH313" s="8"/>
      <c r="II313" s="8"/>
      <c r="IJ313" s="8"/>
      <c r="IK313" s="8"/>
      <c r="IL313" s="8"/>
      <c r="IM313" s="8"/>
      <c r="IN313" s="8"/>
      <c r="IO313" s="8"/>
      <c r="IP313" s="8"/>
      <c r="IQ313" s="8"/>
      <c r="IR313" s="8"/>
      <c r="IS313" s="8"/>
      <c r="IT313" s="8"/>
      <c r="IU313" s="8"/>
      <c r="IV313" s="8"/>
    </row>
    <row r="314" ht="12.75" customHeight="1">
      <c r="A314" s="8"/>
      <c r="HT314" s="8"/>
      <c r="HU314" s="8"/>
      <c r="HV314" s="8"/>
      <c r="HW314" s="8"/>
      <c r="HX314" s="8"/>
      <c r="HY314" s="8"/>
      <c r="HZ314" s="8"/>
      <c r="IA314" s="8"/>
      <c r="IB314" s="8"/>
      <c r="IC314" s="8"/>
      <c r="ID314" s="8"/>
      <c r="IE314" s="8"/>
      <c r="IF314" s="8"/>
      <c r="IG314" s="8"/>
      <c r="IH314" s="8"/>
      <c r="II314" s="8"/>
      <c r="IJ314" s="8"/>
      <c r="IK314" s="8"/>
      <c r="IL314" s="8"/>
      <c r="IM314" s="8"/>
      <c r="IN314" s="8"/>
      <c r="IO314" s="8"/>
      <c r="IP314" s="8"/>
      <c r="IQ314" s="8"/>
      <c r="IR314" s="8"/>
      <c r="IS314" s="8"/>
      <c r="IT314" s="8"/>
      <c r="IU314" s="8"/>
      <c r="IV314" s="8"/>
    </row>
    <row r="315" ht="12.75" customHeight="1">
      <c r="A315" s="8"/>
      <c r="HT315" s="8"/>
      <c r="HU315" s="8"/>
      <c r="HV315" s="8"/>
      <c r="HW315" s="8"/>
      <c r="HX315" s="8"/>
      <c r="HY315" s="8"/>
      <c r="HZ315" s="8"/>
      <c r="IA315" s="8"/>
      <c r="IB315" s="8"/>
      <c r="IC315" s="8"/>
      <c r="ID315" s="8"/>
      <c r="IE315" s="8"/>
      <c r="IF315" s="8"/>
      <c r="IG315" s="8"/>
      <c r="IH315" s="8"/>
      <c r="II315" s="8"/>
      <c r="IJ315" s="8"/>
      <c r="IK315" s="8"/>
      <c r="IL315" s="8"/>
      <c r="IM315" s="8"/>
      <c r="IN315" s="8"/>
      <c r="IO315" s="8"/>
      <c r="IP315" s="8"/>
      <c r="IQ315" s="8"/>
      <c r="IR315" s="8"/>
      <c r="IS315" s="8"/>
      <c r="IT315" s="8"/>
      <c r="IU315" s="8"/>
      <c r="IV315" s="8"/>
    </row>
    <row r="316" ht="12.75" customHeight="1">
      <c r="A316" s="8"/>
      <c r="HT316" s="8"/>
      <c r="HU316" s="8"/>
      <c r="HV316" s="8"/>
      <c r="HW316" s="8"/>
      <c r="HX316" s="8"/>
      <c r="HY316" s="8"/>
      <c r="HZ316" s="8"/>
      <c r="IA316" s="8"/>
      <c r="IB316" s="8"/>
      <c r="IC316" s="8"/>
      <c r="ID316" s="8"/>
      <c r="IE316" s="8"/>
      <c r="IF316" s="8"/>
      <c r="IG316" s="8"/>
      <c r="IH316" s="8"/>
      <c r="II316" s="8"/>
      <c r="IJ316" s="8"/>
      <c r="IK316" s="8"/>
      <c r="IL316" s="8"/>
      <c r="IM316" s="8"/>
      <c r="IN316" s="8"/>
      <c r="IO316" s="8"/>
      <c r="IP316" s="8"/>
      <c r="IQ316" s="8"/>
      <c r="IR316" s="8"/>
      <c r="IS316" s="8"/>
      <c r="IT316" s="8"/>
      <c r="IU316" s="8"/>
      <c r="IV316" s="8"/>
    </row>
    <row r="317" ht="12.75" customHeight="1">
      <c r="A317" s="8"/>
      <c r="HT317" s="8"/>
      <c r="HU317" s="8"/>
      <c r="HV317" s="8"/>
      <c r="HW317" s="8"/>
      <c r="HX317" s="8"/>
      <c r="HY317" s="8"/>
      <c r="HZ317" s="8"/>
      <c r="IA317" s="8"/>
      <c r="IB317" s="8"/>
      <c r="IC317" s="8"/>
      <c r="ID317" s="8"/>
      <c r="IE317" s="8"/>
      <c r="IF317" s="8"/>
      <c r="IG317" s="8"/>
      <c r="IH317" s="8"/>
      <c r="II317" s="8"/>
      <c r="IJ317" s="8"/>
      <c r="IK317" s="8"/>
      <c r="IL317" s="8"/>
      <c r="IM317" s="8"/>
      <c r="IN317" s="8"/>
      <c r="IO317" s="8"/>
      <c r="IP317" s="8"/>
      <c r="IQ317" s="8"/>
      <c r="IR317" s="8"/>
      <c r="IS317" s="8"/>
      <c r="IT317" s="8"/>
      <c r="IU317" s="8"/>
      <c r="IV317" s="8"/>
    </row>
    <row r="318" ht="12.75" customHeight="1">
      <c r="A318" s="8"/>
      <c r="HT318" s="8"/>
      <c r="HU318" s="8"/>
      <c r="HV318" s="8"/>
      <c r="HW318" s="8"/>
      <c r="HX318" s="8"/>
      <c r="HY318" s="8"/>
      <c r="HZ318" s="8"/>
      <c r="IA318" s="8"/>
      <c r="IB318" s="8"/>
      <c r="IC318" s="8"/>
      <c r="ID318" s="8"/>
      <c r="IE318" s="8"/>
      <c r="IF318" s="8"/>
      <c r="IG318" s="8"/>
      <c r="IH318" s="8"/>
      <c r="II318" s="8"/>
      <c r="IJ318" s="8"/>
      <c r="IK318" s="8"/>
      <c r="IL318" s="8"/>
      <c r="IM318" s="8"/>
      <c r="IN318" s="8"/>
      <c r="IO318" s="8"/>
      <c r="IP318" s="8"/>
      <c r="IQ318" s="8"/>
      <c r="IR318" s="8"/>
      <c r="IS318" s="8"/>
      <c r="IT318" s="8"/>
      <c r="IU318" s="8"/>
      <c r="IV318" s="8"/>
    </row>
    <row r="319" ht="12.75" customHeight="1">
      <c r="A319" s="8"/>
      <c r="HT319" s="8"/>
      <c r="HU319" s="8"/>
      <c r="HV319" s="8"/>
      <c r="HW319" s="8"/>
      <c r="HX319" s="8"/>
      <c r="HY319" s="8"/>
      <c r="HZ319" s="8"/>
      <c r="IA319" s="8"/>
      <c r="IB319" s="8"/>
      <c r="IC319" s="8"/>
      <c r="ID319" s="8"/>
      <c r="IE319" s="8"/>
      <c r="IF319" s="8"/>
      <c r="IG319" s="8"/>
      <c r="IH319" s="8"/>
      <c r="II319" s="8"/>
      <c r="IJ319" s="8"/>
      <c r="IK319" s="8"/>
      <c r="IL319" s="8"/>
      <c r="IM319" s="8"/>
      <c r="IN319" s="8"/>
      <c r="IO319" s="8"/>
      <c r="IP319" s="8"/>
      <c r="IQ319" s="8"/>
      <c r="IR319" s="8"/>
      <c r="IS319" s="8"/>
      <c r="IT319" s="8"/>
      <c r="IU319" s="8"/>
      <c r="IV319" s="8"/>
    </row>
    <row r="320" ht="12.75" customHeight="1">
      <c r="A320" s="8"/>
      <c r="HT320" s="8"/>
      <c r="HU320" s="8"/>
      <c r="HV320" s="8"/>
      <c r="HW320" s="8"/>
      <c r="HX320" s="8"/>
      <c r="HY320" s="8"/>
      <c r="HZ320" s="8"/>
      <c r="IA320" s="8"/>
      <c r="IB320" s="8"/>
      <c r="IC320" s="8"/>
      <c r="ID320" s="8"/>
      <c r="IE320" s="8"/>
      <c r="IF320" s="8"/>
      <c r="IG320" s="8"/>
      <c r="IH320" s="8"/>
      <c r="II320" s="8"/>
      <c r="IJ320" s="8"/>
      <c r="IK320" s="8"/>
      <c r="IL320" s="8"/>
      <c r="IM320" s="8"/>
      <c r="IN320" s="8"/>
      <c r="IO320" s="8"/>
      <c r="IP320" s="8"/>
      <c r="IQ320" s="8"/>
      <c r="IR320" s="8"/>
      <c r="IS320" s="8"/>
      <c r="IT320" s="8"/>
      <c r="IU320" s="8"/>
      <c r="IV320" s="8"/>
    </row>
    <row r="321" ht="12.75" customHeight="1">
      <c r="A321" s="8"/>
      <c r="HT321" s="8"/>
      <c r="HU321" s="8"/>
      <c r="HV321" s="8"/>
      <c r="HW321" s="8"/>
      <c r="HX321" s="8"/>
      <c r="HY321" s="8"/>
      <c r="HZ321" s="8"/>
      <c r="IA321" s="8"/>
      <c r="IB321" s="8"/>
      <c r="IC321" s="8"/>
      <c r="ID321" s="8"/>
      <c r="IE321" s="8"/>
      <c r="IF321" s="8"/>
      <c r="IG321" s="8"/>
      <c r="IH321" s="8"/>
      <c r="II321" s="8"/>
      <c r="IJ321" s="8"/>
      <c r="IK321" s="8"/>
      <c r="IL321" s="8"/>
      <c r="IM321" s="8"/>
      <c r="IN321" s="8"/>
      <c r="IO321" s="8"/>
      <c r="IP321" s="8"/>
      <c r="IQ321" s="8"/>
      <c r="IR321" s="8"/>
      <c r="IS321" s="8"/>
      <c r="IT321" s="8"/>
      <c r="IU321" s="8"/>
      <c r="IV321" s="8"/>
    </row>
    <row r="322" ht="12.75" customHeight="1">
      <c r="A322" s="8"/>
      <c r="HT322" s="8"/>
      <c r="HU322" s="8"/>
      <c r="HV322" s="8"/>
      <c r="HW322" s="8"/>
      <c r="HX322" s="8"/>
      <c r="HY322" s="8"/>
      <c r="HZ322" s="8"/>
      <c r="IA322" s="8"/>
      <c r="IB322" s="8"/>
      <c r="IC322" s="8"/>
      <c r="ID322" s="8"/>
      <c r="IE322" s="8"/>
      <c r="IF322" s="8"/>
      <c r="IG322" s="8"/>
      <c r="IH322" s="8"/>
      <c r="II322" s="8"/>
      <c r="IJ322" s="8"/>
      <c r="IK322" s="8"/>
      <c r="IL322" s="8"/>
      <c r="IM322" s="8"/>
      <c r="IN322" s="8"/>
      <c r="IO322" s="8"/>
      <c r="IP322" s="8"/>
      <c r="IQ322" s="8"/>
      <c r="IR322" s="8"/>
      <c r="IS322" s="8"/>
      <c r="IT322" s="8"/>
      <c r="IU322" s="8"/>
      <c r="IV322" s="8"/>
    </row>
    <row r="323" ht="12.75" customHeight="1">
      <c r="A323" s="8"/>
      <c r="HT323" s="8"/>
      <c r="HU323" s="8"/>
      <c r="HV323" s="8"/>
      <c r="HW323" s="8"/>
      <c r="HX323" s="8"/>
      <c r="HY323" s="8"/>
      <c r="HZ323" s="8"/>
      <c r="IA323" s="8"/>
      <c r="IB323" s="8"/>
      <c r="IC323" s="8"/>
      <c r="ID323" s="8"/>
      <c r="IE323" s="8"/>
      <c r="IF323" s="8"/>
      <c r="IG323" s="8"/>
      <c r="IH323" s="8"/>
      <c r="II323" s="8"/>
      <c r="IJ323" s="8"/>
      <c r="IK323" s="8"/>
      <c r="IL323" s="8"/>
      <c r="IM323" s="8"/>
      <c r="IN323" s="8"/>
      <c r="IO323" s="8"/>
      <c r="IP323" s="8"/>
      <c r="IQ323" s="8"/>
      <c r="IR323" s="8"/>
      <c r="IS323" s="8"/>
      <c r="IT323" s="8"/>
      <c r="IU323" s="8"/>
      <c r="IV323" s="8"/>
    </row>
    <row r="324" ht="12.75" customHeight="1">
      <c r="A324" s="8"/>
      <c r="HT324" s="8"/>
      <c r="HU324" s="8"/>
      <c r="HV324" s="8"/>
      <c r="HW324" s="8"/>
      <c r="HX324" s="8"/>
      <c r="HY324" s="8"/>
      <c r="HZ324" s="8"/>
      <c r="IA324" s="8"/>
      <c r="IB324" s="8"/>
      <c r="IC324" s="8"/>
      <c r="ID324" s="8"/>
      <c r="IE324" s="8"/>
      <c r="IF324" s="8"/>
      <c r="IG324" s="8"/>
      <c r="IH324" s="8"/>
      <c r="II324" s="8"/>
      <c r="IJ324" s="8"/>
      <c r="IK324" s="8"/>
      <c r="IL324" s="8"/>
      <c r="IM324" s="8"/>
      <c r="IN324" s="8"/>
      <c r="IO324" s="8"/>
      <c r="IP324" s="8"/>
      <c r="IQ324" s="8"/>
      <c r="IR324" s="8"/>
      <c r="IS324" s="8"/>
      <c r="IT324" s="8"/>
      <c r="IU324" s="8"/>
      <c r="IV324" s="8"/>
    </row>
    <row r="325" ht="12.75" customHeight="1">
      <c r="A325" s="8"/>
      <c r="HT325" s="8"/>
      <c r="HU325" s="8"/>
      <c r="HV325" s="8"/>
      <c r="HW325" s="8"/>
      <c r="HX325" s="8"/>
      <c r="HY325" s="8"/>
      <c r="HZ325" s="8"/>
      <c r="IA325" s="8"/>
      <c r="IB325" s="8"/>
      <c r="IC325" s="8"/>
      <c r="ID325" s="8"/>
      <c r="IE325" s="8"/>
      <c r="IF325" s="8"/>
      <c r="IG325" s="8"/>
      <c r="IH325" s="8"/>
      <c r="II325" s="8"/>
      <c r="IJ325" s="8"/>
      <c r="IK325" s="8"/>
      <c r="IL325" s="8"/>
      <c r="IM325" s="8"/>
      <c r="IN325" s="8"/>
      <c r="IO325" s="8"/>
      <c r="IP325" s="8"/>
      <c r="IQ325" s="8"/>
      <c r="IR325" s="8"/>
      <c r="IS325" s="8"/>
      <c r="IT325" s="8"/>
      <c r="IU325" s="8"/>
      <c r="IV325" s="8"/>
    </row>
    <row r="326" ht="12.75" customHeight="1">
      <c r="A326" s="8"/>
      <c r="HT326" s="8"/>
      <c r="HU326" s="8"/>
      <c r="HV326" s="8"/>
      <c r="HW326" s="8"/>
      <c r="HX326" s="8"/>
      <c r="HY326" s="8"/>
      <c r="HZ326" s="8"/>
      <c r="IA326" s="8"/>
      <c r="IB326" s="8"/>
      <c r="IC326" s="8"/>
      <c r="ID326" s="8"/>
      <c r="IE326" s="8"/>
      <c r="IF326" s="8"/>
      <c r="IG326" s="8"/>
      <c r="IH326" s="8"/>
      <c r="II326" s="8"/>
      <c r="IJ326" s="8"/>
      <c r="IK326" s="8"/>
      <c r="IL326" s="8"/>
      <c r="IM326" s="8"/>
      <c r="IN326" s="8"/>
      <c r="IO326" s="8"/>
      <c r="IP326" s="8"/>
      <c r="IQ326" s="8"/>
      <c r="IR326" s="8"/>
      <c r="IS326" s="8"/>
      <c r="IT326" s="8"/>
      <c r="IU326" s="8"/>
      <c r="IV326" s="8"/>
    </row>
    <row r="327" ht="12.75" customHeight="1">
      <c r="A327" s="8"/>
      <c r="HT327" s="8"/>
      <c r="HU327" s="8"/>
      <c r="HV327" s="8"/>
      <c r="HW327" s="8"/>
      <c r="HX327" s="8"/>
      <c r="HY327" s="8"/>
      <c r="HZ327" s="8"/>
      <c r="IA327" s="8"/>
      <c r="IB327" s="8"/>
      <c r="IC327" s="8"/>
      <c r="ID327" s="8"/>
      <c r="IE327" s="8"/>
      <c r="IF327" s="8"/>
      <c r="IG327" s="8"/>
      <c r="IH327" s="8"/>
      <c r="II327" s="8"/>
      <c r="IJ327" s="8"/>
      <c r="IK327" s="8"/>
      <c r="IL327" s="8"/>
      <c r="IM327" s="8"/>
      <c r="IN327" s="8"/>
      <c r="IO327" s="8"/>
      <c r="IP327" s="8"/>
      <c r="IQ327" s="8"/>
      <c r="IR327" s="8"/>
      <c r="IS327" s="8"/>
      <c r="IT327" s="8"/>
      <c r="IU327" s="8"/>
      <c r="IV327" s="8"/>
    </row>
    <row r="328" ht="12.75" customHeight="1">
      <c r="A328" s="8"/>
      <c r="HT328" s="8"/>
      <c r="HU328" s="8"/>
      <c r="HV328" s="8"/>
      <c r="HW328" s="8"/>
      <c r="HX328" s="8"/>
      <c r="HY328" s="8"/>
      <c r="HZ328" s="8"/>
      <c r="IA328" s="8"/>
      <c r="IB328" s="8"/>
      <c r="IC328" s="8"/>
      <c r="ID328" s="8"/>
      <c r="IE328" s="8"/>
      <c r="IF328" s="8"/>
      <c r="IG328" s="8"/>
      <c r="IH328" s="8"/>
      <c r="II328" s="8"/>
      <c r="IJ328" s="8"/>
      <c r="IK328" s="8"/>
      <c r="IL328" s="8"/>
      <c r="IM328" s="8"/>
      <c r="IN328" s="8"/>
      <c r="IO328" s="8"/>
      <c r="IP328" s="8"/>
      <c r="IQ328" s="8"/>
      <c r="IR328" s="8"/>
      <c r="IS328" s="8"/>
      <c r="IT328" s="8"/>
      <c r="IU328" s="8"/>
      <c r="IV328" s="8"/>
    </row>
    <row r="329" ht="12.75" customHeight="1">
      <c r="A329" s="8"/>
      <c r="HT329" s="8"/>
      <c r="HU329" s="8"/>
      <c r="HV329" s="8"/>
      <c r="HW329" s="8"/>
      <c r="HX329" s="8"/>
      <c r="HY329" s="8"/>
      <c r="HZ329" s="8"/>
      <c r="IA329" s="8"/>
      <c r="IB329" s="8"/>
      <c r="IC329" s="8"/>
      <c r="ID329" s="8"/>
      <c r="IE329" s="8"/>
      <c r="IF329" s="8"/>
      <c r="IG329" s="8"/>
      <c r="IH329" s="8"/>
      <c r="II329" s="8"/>
      <c r="IJ329" s="8"/>
      <c r="IK329" s="8"/>
      <c r="IL329" s="8"/>
      <c r="IM329" s="8"/>
      <c r="IN329" s="8"/>
      <c r="IO329" s="8"/>
      <c r="IP329" s="8"/>
      <c r="IQ329" s="8"/>
      <c r="IR329" s="8"/>
      <c r="IS329" s="8"/>
      <c r="IT329" s="8"/>
      <c r="IU329" s="8"/>
      <c r="IV329" s="8"/>
    </row>
    <row r="330" ht="12.75" customHeight="1">
      <c r="A330" s="8"/>
      <c r="HT330" s="8"/>
      <c r="HU330" s="8"/>
      <c r="HV330" s="8"/>
      <c r="HW330" s="8"/>
      <c r="HX330" s="8"/>
      <c r="HY330" s="8"/>
      <c r="HZ330" s="8"/>
      <c r="IA330" s="8"/>
      <c r="IB330" s="8"/>
      <c r="IC330" s="8"/>
      <c r="ID330" s="8"/>
      <c r="IE330" s="8"/>
      <c r="IF330" s="8"/>
      <c r="IG330" s="8"/>
      <c r="IH330" s="8"/>
      <c r="II330" s="8"/>
      <c r="IJ330" s="8"/>
      <c r="IK330" s="8"/>
      <c r="IL330" s="8"/>
      <c r="IM330" s="8"/>
      <c r="IN330" s="8"/>
      <c r="IO330" s="8"/>
      <c r="IP330" s="8"/>
      <c r="IQ330" s="8"/>
      <c r="IR330" s="8"/>
      <c r="IS330" s="8"/>
      <c r="IT330" s="8"/>
      <c r="IU330" s="8"/>
      <c r="IV330" s="8"/>
    </row>
    <row r="331" ht="12.75" customHeight="1">
      <c r="A331" s="8"/>
      <c r="HT331" s="8"/>
      <c r="HU331" s="8"/>
      <c r="HV331" s="8"/>
      <c r="HW331" s="8"/>
      <c r="HX331" s="8"/>
      <c r="HY331" s="8"/>
      <c r="HZ331" s="8"/>
      <c r="IA331" s="8"/>
      <c r="IB331" s="8"/>
      <c r="IC331" s="8"/>
      <c r="ID331" s="8"/>
      <c r="IE331" s="8"/>
      <c r="IF331" s="8"/>
      <c r="IG331" s="8"/>
      <c r="IH331" s="8"/>
      <c r="II331" s="8"/>
      <c r="IJ331" s="8"/>
      <c r="IK331" s="8"/>
      <c r="IL331" s="8"/>
      <c r="IM331" s="8"/>
      <c r="IN331" s="8"/>
      <c r="IO331" s="8"/>
      <c r="IP331" s="8"/>
      <c r="IQ331" s="8"/>
      <c r="IR331" s="8"/>
      <c r="IS331" s="8"/>
      <c r="IT331" s="8"/>
      <c r="IU331" s="8"/>
      <c r="IV331" s="8"/>
    </row>
    <row r="332" ht="12.75" customHeight="1">
      <c r="A332" s="8"/>
      <c r="HT332" s="8"/>
      <c r="HU332" s="8"/>
      <c r="HV332" s="8"/>
      <c r="HW332" s="8"/>
      <c r="HX332" s="8"/>
      <c r="HY332" s="8"/>
      <c r="HZ332" s="8"/>
      <c r="IA332" s="8"/>
      <c r="IB332" s="8"/>
      <c r="IC332" s="8"/>
      <c r="ID332" s="8"/>
      <c r="IE332" s="8"/>
      <c r="IF332" s="8"/>
      <c r="IG332" s="8"/>
      <c r="IH332" s="8"/>
      <c r="II332" s="8"/>
      <c r="IJ332" s="8"/>
      <c r="IK332" s="8"/>
      <c r="IL332" s="8"/>
      <c r="IM332" s="8"/>
      <c r="IN332" s="8"/>
      <c r="IO332" s="8"/>
      <c r="IP332" s="8"/>
      <c r="IQ332" s="8"/>
      <c r="IR332" s="8"/>
      <c r="IS332" s="8"/>
      <c r="IT332" s="8"/>
      <c r="IU332" s="8"/>
      <c r="IV332" s="8"/>
    </row>
    <row r="333" ht="12.75" customHeight="1">
      <c r="A333" s="8"/>
      <c r="HT333" s="8"/>
      <c r="HU333" s="8"/>
      <c r="HV333" s="8"/>
      <c r="HW333" s="8"/>
      <c r="HX333" s="8"/>
      <c r="HY333" s="8"/>
      <c r="HZ333" s="8"/>
      <c r="IA333" s="8"/>
      <c r="IB333" s="8"/>
      <c r="IC333" s="8"/>
      <c r="ID333" s="8"/>
      <c r="IE333" s="8"/>
      <c r="IF333" s="8"/>
      <c r="IG333" s="8"/>
      <c r="IH333" s="8"/>
      <c r="II333" s="8"/>
      <c r="IJ333" s="8"/>
      <c r="IK333" s="8"/>
      <c r="IL333" s="8"/>
      <c r="IM333" s="8"/>
      <c r="IN333" s="8"/>
      <c r="IO333" s="8"/>
      <c r="IP333" s="8"/>
      <c r="IQ333" s="8"/>
      <c r="IR333" s="8"/>
      <c r="IS333" s="8"/>
      <c r="IT333" s="8"/>
      <c r="IU333" s="8"/>
      <c r="IV333" s="8"/>
    </row>
    <row r="334" ht="12.75" customHeight="1">
      <c r="A334" s="8"/>
      <c r="HT334" s="8"/>
      <c r="HU334" s="8"/>
      <c r="HV334" s="8"/>
      <c r="HW334" s="8"/>
      <c r="HX334" s="8"/>
      <c r="HY334" s="8"/>
      <c r="HZ334" s="8"/>
      <c r="IA334" s="8"/>
      <c r="IB334" s="8"/>
      <c r="IC334" s="8"/>
      <c r="ID334" s="8"/>
      <c r="IE334" s="8"/>
      <c r="IF334" s="8"/>
      <c r="IG334" s="8"/>
      <c r="IH334" s="8"/>
      <c r="II334" s="8"/>
      <c r="IJ334" s="8"/>
      <c r="IK334" s="8"/>
      <c r="IL334" s="8"/>
      <c r="IM334" s="8"/>
      <c r="IN334" s="8"/>
      <c r="IO334" s="8"/>
      <c r="IP334" s="8"/>
      <c r="IQ334" s="8"/>
      <c r="IR334" s="8"/>
      <c r="IS334" s="8"/>
      <c r="IT334" s="8"/>
      <c r="IU334" s="8"/>
      <c r="IV334" s="8"/>
    </row>
    <row r="335" ht="12.75" customHeight="1">
      <c r="A335" s="8"/>
      <c r="HT335" s="8"/>
      <c r="HU335" s="8"/>
      <c r="HV335" s="8"/>
      <c r="HW335" s="8"/>
      <c r="HX335" s="8"/>
      <c r="HY335" s="8"/>
      <c r="HZ335" s="8"/>
      <c r="IA335" s="8"/>
      <c r="IB335" s="8"/>
      <c r="IC335" s="8"/>
      <c r="ID335" s="8"/>
      <c r="IE335" s="8"/>
      <c r="IF335" s="8"/>
      <c r="IG335" s="8"/>
      <c r="IH335" s="8"/>
      <c r="II335" s="8"/>
      <c r="IJ335" s="8"/>
      <c r="IK335" s="8"/>
      <c r="IL335" s="8"/>
      <c r="IM335" s="8"/>
      <c r="IN335" s="8"/>
      <c r="IO335" s="8"/>
      <c r="IP335" s="8"/>
      <c r="IQ335" s="8"/>
      <c r="IR335" s="8"/>
      <c r="IS335" s="8"/>
      <c r="IT335" s="8"/>
      <c r="IU335" s="8"/>
      <c r="IV335" s="8"/>
    </row>
    <row r="336" ht="12.75" customHeight="1">
      <c r="A336" s="8"/>
      <c r="HT336" s="8"/>
      <c r="HU336" s="8"/>
      <c r="HV336" s="8"/>
      <c r="HW336" s="8"/>
      <c r="HX336" s="8"/>
      <c r="HY336" s="8"/>
      <c r="HZ336" s="8"/>
      <c r="IA336" s="8"/>
      <c r="IB336" s="8"/>
      <c r="IC336" s="8"/>
      <c r="ID336" s="8"/>
      <c r="IE336" s="8"/>
      <c r="IF336" s="8"/>
      <c r="IG336" s="8"/>
      <c r="IH336" s="8"/>
      <c r="II336" s="8"/>
      <c r="IJ336" s="8"/>
      <c r="IK336" s="8"/>
      <c r="IL336" s="8"/>
      <c r="IM336" s="8"/>
      <c r="IN336" s="8"/>
      <c r="IO336" s="8"/>
      <c r="IP336" s="8"/>
      <c r="IQ336" s="8"/>
      <c r="IR336" s="8"/>
      <c r="IS336" s="8"/>
      <c r="IT336" s="8"/>
      <c r="IU336" s="8"/>
      <c r="IV336" s="8"/>
    </row>
    <row r="337" ht="12.75" customHeight="1">
      <c r="A337" s="8"/>
      <c r="HT337" s="8"/>
      <c r="HU337" s="8"/>
      <c r="HV337" s="8"/>
      <c r="HW337" s="8"/>
      <c r="HX337" s="8"/>
      <c r="HY337" s="8"/>
      <c r="HZ337" s="8"/>
      <c r="IA337" s="8"/>
      <c r="IB337" s="8"/>
      <c r="IC337" s="8"/>
      <c r="ID337" s="8"/>
      <c r="IE337" s="8"/>
      <c r="IF337" s="8"/>
      <c r="IG337" s="8"/>
      <c r="IH337" s="8"/>
      <c r="II337" s="8"/>
      <c r="IJ337" s="8"/>
      <c r="IK337" s="8"/>
      <c r="IL337" s="8"/>
      <c r="IM337" s="8"/>
      <c r="IN337" s="8"/>
      <c r="IO337" s="8"/>
      <c r="IP337" s="8"/>
      <c r="IQ337" s="8"/>
      <c r="IR337" s="8"/>
      <c r="IS337" s="8"/>
      <c r="IT337" s="8"/>
      <c r="IU337" s="8"/>
      <c r="IV337" s="8"/>
    </row>
    <row r="338" ht="12.75" customHeight="1">
      <c r="A338" s="8"/>
      <c r="HT338" s="8"/>
      <c r="HU338" s="8"/>
      <c r="HV338" s="8"/>
      <c r="HW338" s="8"/>
      <c r="HX338" s="8"/>
      <c r="HY338" s="8"/>
      <c r="HZ338" s="8"/>
      <c r="IA338" s="8"/>
      <c r="IB338" s="8"/>
      <c r="IC338" s="8"/>
      <c r="ID338" s="8"/>
      <c r="IE338" s="8"/>
      <c r="IF338" s="8"/>
      <c r="IG338" s="8"/>
      <c r="IH338" s="8"/>
      <c r="II338" s="8"/>
      <c r="IJ338" s="8"/>
      <c r="IK338" s="8"/>
      <c r="IL338" s="8"/>
      <c r="IM338" s="8"/>
      <c r="IN338" s="8"/>
      <c r="IO338" s="8"/>
      <c r="IP338" s="8"/>
      <c r="IQ338" s="8"/>
      <c r="IR338" s="8"/>
      <c r="IS338" s="8"/>
      <c r="IT338" s="8"/>
      <c r="IU338" s="8"/>
      <c r="IV338" s="8"/>
    </row>
    <row r="339" ht="12.75" customHeight="1">
      <c r="A339" s="8"/>
      <c r="HT339" s="8"/>
      <c r="HU339" s="8"/>
      <c r="HV339" s="8"/>
      <c r="HW339" s="8"/>
      <c r="HX339" s="8"/>
      <c r="HY339" s="8"/>
      <c r="HZ339" s="8"/>
      <c r="IA339" s="8"/>
      <c r="IB339" s="8"/>
      <c r="IC339" s="8"/>
      <c r="ID339" s="8"/>
      <c r="IE339" s="8"/>
      <c r="IF339" s="8"/>
      <c r="IG339" s="8"/>
      <c r="IH339" s="8"/>
      <c r="II339" s="8"/>
      <c r="IJ339" s="8"/>
      <c r="IK339" s="8"/>
      <c r="IL339" s="8"/>
      <c r="IM339" s="8"/>
      <c r="IN339" s="8"/>
      <c r="IO339" s="8"/>
      <c r="IP339" s="8"/>
      <c r="IQ339" s="8"/>
      <c r="IR339" s="8"/>
      <c r="IS339" s="8"/>
      <c r="IT339" s="8"/>
      <c r="IU339" s="8"/>
      <c r="IV339" s="8"/>
    </row>
    <row r="340" ht="12.75" customHeight="1">
      <c r="A340" s="8"/>
      <c r="HT340" s="8"/>
      <c r="HU340" s="8"/>
      <c r="HV340" s="8"/>
      <c r="HW340" s="8"/>
      <c r="HX340" s="8"/>
      <c r="HY340" s="8"/>
      <c r="HZ340" s="8"/>
      <c r="IA340" s="8"/>
      <c r="IB340" s="8"/>
      <c r="IC340" s="8"/>
      <c r="ID340" s="8"/>
      <c r="IE340" s="8"/>
      <c r="IF340" s="8"/>
      <c r="IG340" s="8"/>
      <c r="IH340" s="8"/>
      <c r="II340" s="8"/>
      <c r="IJ340" s="8"/>
      <c r="IK340" s="8"/>
      <c r="IL340" s="8"/>
      <c r="IM340" s="8"/>
      <c r="IN340" s="8"/>
      <c r="IO340" s="8"/>
      <c r="IP340" s="8"/>
      <c r="IQ340" s="8"/>
      <c r="IR340" s="8"/>
      <c r="IS340" s="8"/>
      <c r="IT340" s="8"/>
      <c r="IU340" s="8"/>
      <c r="IV340" s="8"/>
    </row>
    <row r="341" ht="12.75" customHeight="1">
      <c r="A341" s="8"/>
      <c r="HT341" s="8"/>
      <c r="HU341" s="8"/>
      <c r="HV341" s="8"/>
      <c r="HW341" s="8"/>
      <c r="HX341" s="8"/>
      <c r="HY341" s="8"/>
      <c r="HZ341" s="8"/>
      <c r="IA341" s="8"/>
      <c r="IB341" s="8"/>
      <c r="IC341" s="8"/>
      <c r="ID341" s="8"/>
      <c r="IE341" s="8"/>
      <c r="IF341" s="8"/>
      <c r="IG341" s="8"/>
      <c r="IH341" s="8"/>
      <c r="II341" s="8"/>
      <c r="IJ341" s="8"/>
      <c r="IK341" s="8"/>
      <c r="IL341" s="8"/>
      <c r="IM341" s="8"/>
      <c r="IN341" s="8"/>
      <c r="IO341" s="8"/>
      <c r="IP341" s="8"/>
      <c r="IQ341" s="8"/>
      <c r="IR341" s="8"/>
      <c r="IS341" s="8"/>
      <c r="IT341" s="8"/>
      <c r="IU341" s="8"/>
      <c r="IV341" s="8"/>
    </row>
    <row r="342" ht="12.75" customHeight="1">
      <c r="A342" s="8"/>
      <c r="HT342" s="8"/>
      <c r="HU342" s="8"/>
      <c r="HV342" s="8"/>
      <c r="HW342" s="8"/>
      <c r="HX342" s="8"/>
      <c r="HY342" s="8"/>
      <c r="HZ342" s="8"/>
      <c r="IA342" s="8"/>
      <c r="IB342" s="8"/>
      <c r="IC342" s="8"/>
      <c r="ID342" s="8"/>
      <c r="IE342" s="8"/>
      <c r="IF342" s="8"/>
      <c r="IG342" s="8"/>
      <c r="IH342" s="8"/>
      <c r="II342" s="8"/>
      <c r="IJ342" s="8"/>
      <c r="IK342" s="8"/>
      <c r="IL342" s="8"/>
      <c r="IM342" s="8"/>
      <c r="IN342" s="8"/>
      <c r="IO342" s="8"/>
      <c r="IP342" s="8"/>
      <c r="IQ342" s="8"/>
      <c r="IR342" s="8"/>
      <c r="IS342" s="8"/>
      <c r="IT342" s="8"/>
      <c r="IU342" s="8"/>
      <c r="IV342" s="8"/>
    </row>
    <row r="343" ht="12.75" customHeight="1">
      <c r="A343" s="8"/>
      <c r="HT343" s="8"/>
      <c r="HU343" s="8"/>
      <c r="HV343" s="8"/>
      <c r="HW343" s="8"/>
      <c r="HX343" s="8"/>
      <c r="HY343" s="8"/>
      <c r="HZ343" s="8"/>
      <c r="IA343" s="8"/>
      <c r="IB343" s="8"/>
      <c r="IC343" s="8"/>
      <c r="ID343" s="8"/>
      <c r="IE343" s="8"/>
      <c r="IF343" s="8"/>
      <c r="IG343" s="8"/>
      <c r="IH343" s="8"/>
      <c r="II343" s="8"/>
      <c r="IJ343" s="8"/>
      <c r="IK343" s="8"/>
      <c r="IL343" s="8"/>
      <c r="IM343" s="8"/>
      <c r="IN343" s="8"/>
      <c r="IO343" s="8"/>
      <c r="IP343" s="8"/>
      <c r="IQ343" s="8"/>
      <c r="IR343" s="8"/>
      <c r="IS343" s="8"/>
      <c r="IT343" s="8"/>
      <c r="IU343" s="8"/>
      <c r="IV343" s="8"/>
    </row>
    <row r="344" ht="12.75" customHeight="1">
      <c r="A344" s="8"/>
      <c r="HT344" s="8"/>
      <c r="HU344" s="8"/>
      <c r="HV344" s="8"/>
      <c r="HW344" s="8"/>
      <c r="HX344" s="8"/>
      <c r="HY344" s="8"/>
      <c r="HZ344" s="8"/>
      <c r="IA344" s="8"/>
      <c r="IB344" s="8"/>
      <c r="IC344" s="8"/>
      <c r="ID344" s="8"/>
      <c r="IE344" s="8"/>
      <c r="IF344" s="8"/>
      <c r="IG344" s="8"/>
      <c r="IH344" s="8"/>
      <c r="II344" s="8"/>
      <c r="IJ344" s="8"/>
      <c r="IK344" s="8"/>
      <c r="IL344" s="8"/>
      <c r="IM344" s="8"/>
      <c r="IN344" s="8"/>
      <c r="IO344" s="8"/>
      <c r="IP344" s="8"/>
      <c r="IQ344" s="8"/>
      <c r="IR344" s="8"/>
      <c r="IS344" s="8"/>
      <c r="IT344" s="8"/>
      <c r="IU344" s="8"/>
      <c r="IV344" s="8"/>
    </row>
    <row r="345" ht="12.75" customHeight="1">
      <c r="A345" s="8"/>
      <c r="HT345" s="8"/>
      <c r="HU345" s="8"/>
      <c r="HV345" s="8"/>
      <c r="HW345" s="8"/>
      <c r="HX345" s="8"/>
      <c r="HY345" s="8"/>
      <c r="HZ345" s="8"/>
      <c r="IA345" s="8"/>
      <c r="IB345" s="8"/>
      <c r="IC345" s="8"/>
      <c r="ID345" s="8"/>
      <c r="IE345" s="8"/>
      <c r="IF345" s="8"/>
      <c r="IG345" s="8"/>
      <c r="IH345" s="8"/>
      <c r="II345" s="8"/>
      <c r="IJ345" s="8"/>
      <c r="IK345" s="8"/>
      <c r="IL345" s="8"/>
      <c r="IM345" s="8"/>
      <c r="IN345" s="8"/>
      <c r="IO345" s="8"/>
      <c r="IP345" s="8"/>
      <c r="IQ345" s="8"/>
      <c r="IR345" s="8"/>
      <c r="IS345" s="8"/>
      <c r="IT345" s="8"/>
      <c r="IU345" s="8"/>
      <c r="IV345" s="8"/>
    </row>
    <row r="346" ht="12.75" customHeight="1">
      <c r="A346" s="8"/>
      <c r="HT346" s="8"/>
      <c r="HU346" s="8"/>
      <c r="HV346" s="8"/>
      <c r="HW346" s="8"/>
      <c r="HX346" s="8"/>
      <c r="HY346" s="8"/>
      <c r="HZ346" s="8"/>
      <c r="IA346" s="8"/>
      <c r="IB346" s="8"/>
      <c r="IC346" s="8"/>
      <c r="ID346" s="8"/>
      <c r="IE346" s="8"/>
      <c r="IF346" s="8"/>
      <c r="IG346" s="8"/>
      <c r="IH346" s="8"/>
      <c r="II346" s="8"/>
      <c r="IJ346" s="8"/>
      <c r="IK346" s="8"/>
      <c r="IL346" s="8"/>
      <c r="IM346" s="8"/>
      <c r="IN346" s="8"/>
      <c r="IO346" s="8"/>
      <c r="IP346" s="8"/>
      <c r="IQ346" s="8"/>
      <c r="IR346" s="8"/>
      <c r="IS346" s="8"/>
      <c r="IT346" s="8"/>
      <c r="IU346" s="8"/>
      <c r="IV346" s="8"/>
    </row>
    <row r="347" ht="12.75" customHeight="1">
      <c r="A347" s="8"/>
      <c r="HT347" s="8"/>
      <c r="HU347" s="8"/>
      <c r="HV347" s="8"/>
      <c r="HW347" s="8"/>
      <c r="HX347" s="8"/>
      <c r="HY347" s="8"/>
      <c r="HZ347" s="8"/>
      <c r="IA347" s="8"/>
      <c r="IB347" s="8"/>
      <c r="IC347" s="8"/>
      <c r="ID347" s="8"/>
      <c r="IE347" s="8"/>
      <c r="IF347" s="8"/>
      <c r="IG347" s="8"/>
      <c r="IH347" s="8"/>
      <c r="II347" s="8"/>
      <c r="IJ347" s="8"/>
      <c r="IK347" s="8"/>
      <c r="IL347" s="8"/>
      <c r="IM347" s="8"/>
      <c r="IN347" s="8"/>
      <c r="IO347" s="8"/>
      <c r="IP347" s="8"/>
      <c r="IQ347" s="8"/>
      <c r="IR347" s="8"/>
      <c r="IS347" s="8"/>
      <c r="IT347" s="8"/>
      <c r="IU347" s="8"/>
      <c r="IV347" s="8"/>
    </row>
    <row r="348" ht="12.75" customHeight="1">
      <c r="A348" s="8"/>
      <c r="HT348" s="8"/>
      <c r="HU348" s="8"/>
      <c r="HV348" s="8"/>
      <c r="HW348" s="8"/>
      <c r="HX348" s="8"/>
      <c r="HY348" s="8"/>
      <c r="HZ348" s="8"/>
      <c r="IA348" s="8"/>
      <c r="IB348" s="8"/>
      <c r="IC348" s="8"/>
      <c r="ID348" s="8"/>
      <c r="IE348" s="8"/>
      <c r="IF348" s="8"/>
      <c r="IG348" s="8"/>
      <c r="IH348" s="8"/>
      <c r="II348" s="8"/>
      <c r="IJ348" s="8"/>
      <c r="IK348" s="8"/>
      <c r="IL348" s="8"/>
      <c r="IM348" s="8"/>
      <c r="IN348" s="8"/>
      <c r="IO348" s="8"/>
      <c r="IP348" s="8"/>
      <c r="IQ348" s="8"/>
      <c r="IR348" s="8"/>
      <c r="IS348" s="8"/>
      <c r="IT348" s="8"/>
      <c r="IU348" s="8"/>
      <c r="IV348" s="8"/>
    </row>
    <row r="349" ht="12.75" customHeight="1">
      <c r="A349" s="8"/>
      <c r="HT349" s="8"/>
      <c r="HU349" s="8"/>
      <c r="HV349" s="8"/>
      <c r="HW349" s="8"/>
      <c r="HX349" s="8"/>
      <c r="HY349" s="8"/>
      <c r="HZ349" s="8"/>
      <c r="IA349" s="8"/>
      <c r="IB349" s="8"/>
      <c r="IC349" s="8"/>
      <c r="ID349" s="8"/>
      <c r="IE349" s="8"/>
      <c r="IF349" s="8"/>
      <c r="IG349" s="8"/>
      <c r="IH349" s="8"/>
      <c r="II349" s="8"/>
      <c r="IJ349" s="8"/>
      <c r="IK349" s="8"/>
      <c r="IL349" s="8"/>
      <c r="IM349" s="8"/>
      <c r="IN349" s="8"/>
      <c r="IO349" s="8"/>
      <c r="IP349" s="8"/>
      <c r="IQ349" s="8"/>
      <c r="IR349" s="8"/>
      <c r="IS349" s="8"/>
      <c r="IT349" s="8"/>
      <c r="IU349" s="8"/>
      <c r="IV349" s="8"/>
    </row>
    <row r="350" ht="12.75" customHeight="1">
      <c r="A350" s="8"/>
      <c r="HT350" s="8"/>
      <c r="HU350" s="8"/>
      <c r="HV350" s="8"/>
      <c r="HW350" s="8"/>
      <c r="HX350" s="8"/>
      <c r="HY350" s="8"/>
      <c r="HZ350" s="8"/>
      <c r="IA350" s="8"/>
      <c r="IB350" s="8"/>
      <c r="IC350" s="8"/>
      <c r="ID350" s="8"/>
      <c r="IE350" s="8"/>
      <c r="IF350" s="8"/>
      <c r="IG350" s="8"/>
      <c r="IH350" s="8"/>
      <c r="II350" s="8"/>
      <c r="IJ350" s="8"/>
      <c r="IK350" s="8"/>
      <c r="IL350" s="8"/>
      <c r="IM350" s="8"/>
      <c r="IN350" s="8"/>
      <c r="IO350" s="8"/>
      <c r="IP350" s="8"/>
      <c r="IQ350" s="8"/>
      <c r="IR350" s="8"/>
      <c r="IS350" s="8"/>
      <c r="IT350" s="8"/>
      <c r="IU350" s="8"/>
      <c r="IV350" s="8"/>
    </row>
    <row r="351" ht="12.75" customHeight="1">
      <c r="A351" s="8"/>
      <c r="HT351" s="8"/>
      <c r="HU351" s="8"/>
      <c r="HV351" s="8"/>
      <c r="HW351" s="8"/>
      <c r="HX351" s="8"/>
      <c r="HY351" s="8"/>
      <c r="HZ351" s="8"/>
      <c r="IA351" s="8"/>
      <c r="IB351" s="8"/>
      <c r="IC351" s="8"/>
      <c r="ID351" s="8"/>
      <c r="IE351" s="8"/>
      <c r="IF351" s="8"/>
      <c r="IG351" s="8"/>
      <c r="IH351" s="8"/>
      <c r="II351" s="8"/>
      <c r="IJ351" s="8"/>
      <c r="IK351" s="8"/>
      <c r="IL351" s="8"/>
      <c r="IM351" s="8"/>
      <c r="IN351" s="8"/>
      <c r="IO351" s="8"/>
      <c r="IP351" s="8"/>
      <c r="IQ351" s="8"/>
      <c r="IR351" s="8"/>
      <c r="IS351" s="8"/>
      <c r="IT351" s="8"/>
      <c r="IU351" s="8"/>
      <c r="IV351" s="8"/>
    </row>
    <row r="352" ht="12.75" customHeight="1">
      <c r="A352" s="8"/>
      <c r="HT352" s="8"/>
      <c r="HU352" s="8"/>
      <c r="HV352" s="8"/>
      <c r="HW352" s="8"/>
      <c r="HX352" s="8"/>
      <c r="HY352" s="8"/>
      <c r="HZ352" s="8"/>
      <c r="IA352" s="8"/>
      <c r="IB352" s="8"/>
      <c r="IC352" s="8"/>
      <c r="ID352" s="8"/>
      <c r="IE352" s="8"/>
      <c r="IF352" s="8"/>
      <c r="IG352" s="8"/>
      <c r="IH352" s="8"/>
      <c r="II352" s="8"/>
      <c r="IJ352" s="8"/>
      <c r="IK352" s="8"/>
      <c r="IL352" s="8"/>
      <c r="IM352" s="8"/>
      <c r="IN352" s="8"/>
      <c r="IO352" s="8"/>
      <c r="IP352" s="8"/>
      <c r="IQ352" s="8"/>
      <c r="IR352" s="8"/>
      <c r="IS352" s="8"/>
      <c r="IT352" s="8"/>
      <c r="IU352" s="8"/>
      <c r="IV352" s="8"/>
    </row>
    <row r="353" ht="12.75" customHeight="1">
      <c r="A353" s="8"/>
      <c r="HT353" s="8"/>
      <c r="HU353" s="8"/>
      <c r="HV353" s="8"/>
      <c r="HW353" s="8"/>
      <c r="HX353" s="8"/>
      <c r="HY353" s="8"/>
      <c r="HZ353" s="8"/>
      <c r="IA353" s="8"/>
      <c r="IB353" s="8"/>
      <c r="IC353" s="8"/>
      <c r="ID353" s="8"/>
      <c r="IE353" s="8"/>
      <c r="IF353" s="8"/>
      <c r="IG353" s="8"/>
      <c r="IH353" s="8"/>
      <c r="II353" s="8"/>
      <c r="IJ353" s="8"/>
      <c r="IK353" s="8"/>
      <c r="IL353" s="8"/>
      <c r="IM353" s="8"/>
      <c r="IN353" s="8"/>
      <c r="IO353" s="8"/>
      <c r="IP353" s="8"/>
      <c r="IQ353" s="8"/>
      <c r="IR353" s="8"/>
      <c r="IS353" s="8"/>
      <c r="IT353" s="8"/>
      <c r="IU353" s="8"/>
      <c r="IV353" s="8"/>
    </row>
    <row r="354" ht="12.75" customHeight="1">
      <c r="A354" s="8"/>
      <c r="HT354" s="8"/>
      <c r="HU354" s="8"/>
      <c r="HV354" s="8"/>
      <c r="HW354" s="8"/>
      <c r="HX354" s="8"/>
      <c r="HY354" s="8"/>
      <c r="HZ354" s="8"/>
      <c r="IA354" s="8"/>
      <c r="IB354" s="8"/>
      <c r="IC354" s="8"/>
      <c r="ID354" s="8"/>
      <c r="IE354" s="8"/>
      <c r="IF354" s="8"/>
      <c r="IG354" s="8"/>
      <c r="IH354" s="8"/>
      <c r="II354" s="8"/>
      <c r="IJ354" s="8"/>
      <c r="IK354" s="8"/>
      <c r="IL354" s="8"/>
      <c r="IM354" s="8"/>
      <c r="IN354" s="8"/>
      <c r="IO354" s="8"/>
      <c r="IP354" s="8"/>
      <c r="IQ354" s="8"/>
      <c r="IR354" s="8"/>
      <c r="IS354" s="8"/>
      <c r="IT354" s="8"/>
      <c r="IU354" s="8"/>
      <c r="IV354" s="8"/>
    </row>
    <row r="355" ht="12.75" customHeight="1">
      <c r="A355" s="8"/>
      <c r="HT355" s="8"/>
      <c r="HU355" s="8"/>
      <c r="HV355" s="8"/>
      <c r="HW355" s="8"/>
      <c r="HX355" s="8"/>
      <c r="HY355" s="8"/>
      <c r="HZ355" s="8"/>
      <c r="IA355" s="8"/>
      <c r="IB355" s="8"/>
      <c r="IC355" s="8"/>
      <c r="ID355" s="8"/>
      <c r="IE355" s="8"/>
      <c r="IF355" s="8"/>
      <c r="IG355" s="8"/>
      <c r="IH355" s="8"/>
      <c r="II355" s="8"/>
      <c r="IJ355" s="8"/>
      <c r="IK355" s="8"/>
      <c r="IL355" s="8"/>
      <c r="IM355" s="8"/>
      <c r="IN355" s="8"/>
      <c r="IO355" s="8"/>
      <c r="IP355" s="8"/>
      <c r="IQ355" s="8"/>
      <c r="IR355" s="8"/>
      <c r="IS355" s="8"/>
      <c r="IT355" s="8"/>
      <c r="IU355" s="8"/>
      <c r="IV355" s="8"/>
    </row>
    <row r="356" ht="12.75" customHeight="1">
      <c r="A356" s="8"/>
      <c r="HT356" s="8"/>
      <c r="HU356" s="8"/>
      <c r="HV356" s="8"/>
      <c r="HW356" s="8"/>
      <c r="HX356" s="8"/>
      <c r="HY356" s="8"/>
      <c r="HZ356" s="8"/>
      <c r="IA356" s="8"/>
      <c r="IB356" s="8"/>
      <c r="IC356" s="8"/>
      <c r="ID356" s="8"/>
      <c r="IE356" s="8"/>
      <c r="IF356" s="8"/>
      <c r="IG356" s="8"/>
      <c r="IH356" s="8"/>
      <c r="II356" s="8"/>
      <c r="IJ356" s="8"/>
      <c r="IK356" s="8"/>
      <c r="IL356" s="8"/>
      <c r="IM356" s="8"/>
      <c r="IN356" s="8"/>
      <c r="IO356" s="8"/>
      <c r="IP356" s="8"/>
      <c r="IQ356" s="8"/>
      <c r="IR356" s="8"/>
      <c r="IS356" s="8"/>
      <c r="IT356" s="8"/>
      <c r="IU356" s="8"/>
      <c r="IV356" s="8"/>
    </row>
    <row r="357" ht="12.75" customHeight="1">
      <c r="A357" s="8"/>
      <c r="HT357" s="8"/>
      <c r="HU357" s="8"/>
      <c r="HV357" s="8"/>
      <c r="HW357" s="8"/>
      <c r="HX357" s="8"/>
      <c r="HY357" s="8"/>
      <c r="HZ357" s="8"/>
      <c r="IA357" s="8"/>
      <c r="IB357" s="8"/>
      <c r="IC357" s="8"/>
      <c r="ID357" s="8"/>
      <c r="IE357" s="8"/>
      <c r="IF357" s="8"/>
      <c r="IG357" s="8"/>
      <c r="IH357" s="8"/>
      <c r="II357" s="8"/>
      <c r="IJ357" s="8"/>
      <c r="IK357" s="8"/>
      <c r="IL357" s="8"/>
      <c r="IM357" s="8"/>
      <c r="IN357" s="8"/>
      <c r="IO357" s="8"/>
      <c r="IP357" s="8"/>
      <c r="IQ357" s="8"/>
      <c r="IR357" s="8"/>
      <c r="IS357" s="8"/>
      <c r="IT357" s="8"/>
      <c r="IU357" s="8"/>
      <c r="IV357" s="8"/>
    </row>
    <row r="358" ht="12.75" customHeight="1">
      <c r="A358" s="8"/>
      <c r="HT358" s="8"/>
      <c r="HU358" s="8"/>
      <c r="HV358" s="8"/>
      <c r="HW358" s="8"/>
      <c r="HX358" s="8"/>
      <c r="HY358" s="8"/>
      <c r="HZ358" s="8"/>
      <c r="IA358" s="8"/>
      <c r="IB358" s="8"/>
      <c r="IC358" s="8"/>
      <c r="ID358" s="8"/>
      <c r="IE358" s="8"/>
      <c r="IF358" s="8"/>
      <c r="IG358" s="8"/>
      <c r="IH358" s="8"/>
      <c r="II358" s="8"/>
      <c r="IJ358" s="8"/>
      <c r="IK358" s="8"/>
      <c r="IL358" s="8"/>
      <c r="IM358" s="8"/>
      <c r="IN358" s="8"/>
      <c r="IO358" s="8"/>
      <c r="IP358" s="8"/>
      <c r="IQ358" s="8"/>
      <c r="IR358" s="8"/>
      <c r="IS358" s="8"/>
      <c r="IT358" s="8"/>
      <c r="IU358" s="8"/>
      <c r="IV358" s="8"/>
    </row>
    <row r="359" ht="12.75" customHeight="1">
      <c r="A359" s="8"/>
      <c r="HT359" s="8"/>
      <c r="HU359" s="8"/>
      <c r="HV359" s="8"/>
      <c r="HW359" s="8"/>
      <c r="HX359" s="8"/>
      <c r="HY359" s="8"/>
      <c r="HZ359" s="8"/>
      <c r="IA359" s="8"/>
      <c r="IB359" s="8"/>
      <c r="IC359" s="8"/>
      <c r="ID359" s="8"/>
      <c r="IE359" s="8"/>
      <c r="IF359" s="8"/>
      <c r="IG359" s="8"/>
      <c r="IH359" s="8"/>
      <c r="II359" s="8"/>
      <c r="IJ359" s="8"/>
      <c r="IK359" s="8"/>
      <c r="IL359" s="8"/>
      <c r="IM359" s="8"/>
      <c r="IN359" s="8"/>
      <c r="IO359" s="8"/>
      <c r="IP359" s="8"/>
      <c r="IQ359" s="8"/>
      <c r="IR359" s="8"/>
      <c r="IS359" s="8"/>
      <c r="IT359" s="8"/>
      <c r="IU359" s="8"/>
      <c r="IV359" s="8"/>
    </row>
    <row r="360" ht="12.75" customHeight="1">
      <c r="A360" s="8"/>
      <c r="HT360" s="8"/>
      <c r="HU360" s="8"/>
      <c r="HV360" s="8"/>
      <c r="HW360" s="8"/>
      <c r="HX360" s="8"/>
      <c r="HY360" s="8"/>
      <c r="HZ360" s="8"/>
      <c r="IA360" s="8"/>
      <c r="IB360" s="8"/>
      <c r="IC360" s="8"/>
      <c r="ID360" s="8"/>
      <c r="IE360" s="8"/>
      <c r="IF360" s="8"/>
      <c r="IG360" s="8"/>
      <c r="IH360" s="8"/>
      <c r="II360" s="8"/>
      <c r="IJ360" s="8"/>
      <c r="IK360" s="8"/>
      <c r="IL360" s="8"/>
      <c r="IM360" s="8"/>
      <c r="IN360" s="8"/>
      <c r="IO360" s="8"/>
      <c r="IP360" s="8"/>
      <c r="IQ360" s="8"/>
      <c r="IR360" s="8"/>
      <c r="IS360" s="8"/>
      <c r="IT360" s="8"/>
      <c r="IU360" s="8"/>
      <c r="IV360" s="8"/>
    </row>
    <row r="361" ht="12.75" customHeight="1">
      <c r="A361" s="8"/>
      <c r="HT361" s="8"/>
      <c r="HU361" s="8"/>
      <c r="HV361" s="8"/>
      <c r="HW361" s="8"/>
      <c r="HX361" s="8"/>
      <c r="HY361" s="8"/>
      <c r="HZ361" s="8"/>
      <c r="IA361" s="8"/>
      <c r="IB361" s="8"/>
      <c r="IC361" s="8"/>
      <c r="ID361" s="8"/>
      <c r="IE361" s="8"/>
      <c r="IF361" s="8"/>
      <c r="IG361" s="8"/>
      <c r="IH361" s="8"/>
      <c r="II361" s="8"/>
      <c r="IJ361" s="8"/>
      <c r="IK361" s="8"/>
      <c r="IL361" s="8"/>
      <c r="IM361" s="8"/>
      <c r="IN361" s="8"/>
      <c r="IO361" s="8"/>
      <c r="IP361" s="8"/>
      <c r="IQ361" s="8"/>
      <c r="IR361" s="8"/>
      <c r="IS361" s="8"/>
      <c r="IT361" s="8"/>
      <c r="IU361" s="8"/>
      <c r="IV361" s="8"/>
    </row>
    <row r="362" ht="12.75" customHeight="1">
      <c r="A362" s="8"/>
      <c r="HT362" s="8"/>
      <c r="HU362" s="8"/>
      <c r="HV362" s="8"/>
      <c r="HW362" s="8"/>
      <c r="HX362" s="8"/>
      <c r="HY362" s="8"/>
      <c r="HZ362" s="8"/>
      <c r="IA362" s="8"/>
      <c r="IB362" s="8"/>
      <c r="IC362" s="8"/>
      <c r="ID362" s="8"/>
      <c r="IE362" s="8"/>
      <c r="IF362" s="8"/>
      <c r="IG362" s="8"/>
      <c r="IH362" s="8"/>
      <c r="II362" s="8"/>
      <c r="IJ362" s="8"/>
      <c r="IK362" s="8"/>
      <c r="IL362" s="8"/>
      <c r="IM362" s="8"/>
      <c r="IN362" s="8"/>
      <c r="IO362" s="8"/>
      <c r="IP362" s="8"/>
      <c r="IQ362" s="8"/>
      <c r="IR362" s="8"/>
      <c r="IS362" s="8"/>
      <c r="IT362" s="8"/>
      <c r="IU362" s="8"/>
      <c r="IV362" s="8"/>
    </row>
    <row r="363" ht="12.75" customHeight="1">
      <c r="A363" s="8"/>
      <c r="HT363" s="8"/>
      <c r="HU363" s="8"/>
      <c r="HV363" s="8"/>
      <c r="HW363" s="8"/>
      <c r="HX363" s="8"/>
      <c r="HY363" s="8"/>
      <c r="HZ363" s="8"/>
      <c r="IA363" s="8"/>
      <c r="IB363" s="8"/>
      <c r="IC363" s="8"/>
      <c r="ID363" s="8"/>
      <c r="IE363" s="8"/>
      <c r="IF363" s="8"/>
      <c r="IG363" s="8"/>
      <c r="IH363" s="8"/>
      <c r="II363" s="8"/>
      <c r="IJ363" s="8"/>
      <c r="IK363" s="8"/>
      <c r="IL363" s="8"/>
      <c r="IM363" s="8"/>
      <c r="IN363" s="8"/>
      <c r="IO363" s="8"/>
      <c r="IP363" s="8"/>
      <c r="IQ363" s="8"/>
      <c r="IR363" s="8"/>
      <c r="IS363" s="8"/>
      <c r="IT363" s="8"/>
      <c r="IU363" s="8"/>
      <c r="IV363" s="8"/>
    </row>
    <row r="364" ht="12.75" customHeight="1">
      <c r="A364" s="8"/>
      <c r="HT364" s="8"/>
      <c r="HU364" s="8"/>
      <c r="HV364" s="8"/>
      <c r="HW364" s="8"/>
      <c r="HX364" s="8"/>
      <c r="HY364" s="8"/>
      <c r="HZ364" s="8"/>
      <c r="IA364" s="8"/>
      <c r="IB364" s="8"/>
      <c r="IC364" s="8"/>
      <c r="ID364" s="8"/>
      <c r="IE364" s="8"/>
      <c r="IF364" s="8"/>
      <c r="IG364" s="8"/>
      <c r="IH364" s="8"/>
      <c r="II364" s="8"/>
      <c r="IJ364" s="8"/>
      <c r="IK364" s="8"/>
      <c r="IL364" s="8"/>
      <c r="IM364" s="8"/>
      <c r="IN364" s="8"/>
      <c r="IO364" s="8"/>
      <c r="IP364" s="8"/>
      <c r="IQ364" s="8"/>
      <c r="IR364" s="8"/>
      <c r="IS364" s="8"/>
      <c r="IT364" s="8"/>
      <c r="IU364" s="8"/>
      <c r="IV364" s="8"/>
    </row>
    <row r="365" ht="12.75" customHeight="1">
      <c r="A365" s="8"/>
      <c r="HT365" s="8"/>
      <c r="HU365" s="8"/>
      <c r="HV365" s="8"/>
      <c r="HW365" s="8"/>
      <c r="HX365" s="8"/>
      <c r="HY365" s="8"/>
      <c r="HZ365" s="8"/>
      <c r="IA365" s="8"/>
      <c r="IB365" s="8"/>
      <c r="IC365" s="8"/>
      <c r="ID365" s="8"/>
      <c r="IE365" s="8"/>
      <c r="IF365" s="8"/>
      <c r="IG365" s="8"/>
      <c r="IH365" s="8"/>
      <c r="II365" s="8"/>
      <c r="IJ365" s="8"/>
      <c r="IK365" s="8"/>
      <c r="IL365" s="8"/>
      <c r="IM365" s="8"/>
      <c r="IN365" s="8"/>
      <c r="IO365" s="8"/>
      <c r="IP365" s="8"/>
      <c r="IQ365" s="8"/>
      <c r="IR365" s="8"/>
      <c r="IS365" s="8"/>
      <c r="IT365" s="8"/>
      <c r="IU365" s="8"/>
      <c r="IV365" s="8"/>
    </row>
    <row r="366" ht="12.75" customHeight="1">
      <c r="A366" s="8"/>
      <c r="HT366" s="8"/>
      <c r="HU366" s="8"/>
      <c r="HV366" s="8"/>
      <c r="HW366" s="8"/>
      <c r="HX366" s="8"/>
      <c r="HY366" s="8"/>
      <c r="HZ366" s="8"/>
      <c r="IA366" s="8"/>
      <c r="IB366" s="8"/>
      <c r="IC366" s="8"/>
      <c r="ID366" s="8"/>
      <c r="IE366" s="8"/>
      <c r="IF366" s="8"/>
      <c r="IG366" s="8"/>
      <c r="IH366" s="8"/>
      <c r="II366" s="8"/>
      <c r="IJ366" s="8"/>
      <c r="IK366" s="8"/>
      <c r="IL366" s="8"/>
      <c r="IM366" s="8"/>
      <c r="IN366" s="8"/>
      <c r="IO366" s="8"/>
      <c r="IP366" s="8"/>
      <c r="IQ366" s="8"/>
      <c r="IR366" s="8"/>
      <c r="IS366" s="8"/>
      <c r="IT366" s="8"/>
      <c r="IU366" s="8"/>
      <c r="IV366" s="8"/>
    </row>
    <row r="367" ht="12.75" customHeight="1">
      <c r="A367" s="8"/>
      <c r="HT367" s="8"/>
      <c r="HU367" s="8"/>
      <c r="HV367" s="8"/>
      <c r="HW367" s="8"/>
      <c r="HX367" s="8"/>
      <c r="HY367" s="8"/>
      <c r="HZ367" s="8"/>
      <c r="IA367" s="8"/>
      <c r="IB367" s="8"/>
      <c r="IC367" s="8"/>
      <c r="ID367" s="8"/>
      <c r="IE367" s="8"/>
      <c r="IF367" s="8"/>
      <c r="IG367" s="8"/>
      <c r="IH367" s="8"/>
      <c r="II367" s="8"/>
      <c r="IJ367" s="8"/>
      <c r="IK367" s="8"/>
      <c r="IL367" s="8"/>
      <c r="IM367" s="8"/>
      <c r="IN367" s="8"/>
      <c r="IO367" s="8"/>
      <c r="IP367" s="8"/>
      <c r="IQ367" s="8"/>
      <c r="IR367" s="8"/>
      <c r="IS367" s="8"/>
      <c r="IT367" s="8"/>
      <c r="IU367" s="8"/>
      <c r="IV367" s="8"/>
    </row>
    <row r="368" ht="12.75" customHeight="1">
      <c r="A368" s="8"/>
      <c r="HT368" s="8"/>
      <c r="HU368" s="8"/>
      <c r="HV368" s="8"/>
      <c r="HW368" s="8"/>
      <c r="HX368" s="8"/>
      <c r="HY368" s="8"/>
      <c r="HZ368" s="8"/>
      <c r="IA368" s="8"/>
      <c r="IB368" s="8"/>
      <c r="IC368" s="8"/>
      <c r="ID368" s="8"/>
      <c r="IE368" s="8"/>
      <c r="IF368" s="8"/>
      <c r="IG368" s="8"/>
      <c r="IH368" s="8"/>
      <c r="II368" s="8"/>
      <c r="IJ368" s="8"/>
      <c r="IK368" s="8"/>
      <c r="IL368" s="8"/>
      <c r="IM368" s="8"/>
      <c r="IN368" s="8"/>
      <c r="IO368" s="8"/>
      <c r="IP368" s="8"/>
      <c r="IQ368" s="8"/>
      <c r="IR368" s="8"/>
      <c r="IS368" s="8"/>
      <c r="IT368" s="8"/>
      <c r="IU368" s="8"/>
      <c r="IV368" s="8"/>
    </row>
    <row r="369" ht="12.75" customHeight="1">
      <c r="A369" s="8"/>
      <c r="HT369" s="8"/>
      <c r="HU369" s="8"/>
      <c r="HV369" s="8"/>
      <c r="HW369" s="8"/>
      <c r="HX369" s="8"/>
      <c r="HY369" s="8"/>
      <c r="HZ369" s="8"/>
      <c r="IA369" s="8"/>
      <c r="IB369" s="8"/>
      <c r="IC369" s="8"/>
      <c r="ID369" s="8"/>
      <c r="IE369" s="8"/>
      <c r="IF369" s="8"/>
      <c r="IG369" s="8"/>
      <c r="IH369" s="8"/>
      <c r="II369" s="8"/>
      <c r="IJ369" s="8"/>
      <c r="IK369" s="8"/>
      <c r="IL369" s="8"/>
      <c r="IM369" s="8"/>
      <c r="IN369" s="8"/>
      <c r="IO369" s="8"/>
      <c r="IP369" s="8"/>
      <c r="IQ369" s="8"/>
      <c r="IR369" s="8"/>
      <c r="IS369" s="8"/>
      <c r="IT369" s="8"/>
      <c r="IU369" s="8"/>
      <c r="IV369" s="8"/>
    </row>
    <row r="370" ht="12.75" customHeight="1">
      <c r="A370" s="8"/>
      <c r="HT370" s="8"/>
      <c r="HU370" s="8"/>
      <c r="HV370" s="8"/>
      <c r="HW370" s="8"/>
      <c r="HX370" s="8"/>
      <c r="HY370" s="8"/>
      <c r="HZ370" s="8"/>
      <c r="IA370" s="8"/>
      <c r="IB370" s="8"/>
      <c r="IC370" s="8"/>
      <c r="ID370" s="8"/>
      <c r="IE370" s="8"/>
      <c r="IF370" s="8"/>
      <c r="IG370" s="8"/>
      <c r="IH370" s="8"/>
      <c r="II370" s="8"/>
      <c r="IJ370" s="8"/>
      <c r="IK370" s="8"/>
      <c r="IL370" s="8"/>
      <c r="IM370" s="8"/>
      <c r="IN370" s="8"/>
      <c r="IO370" s="8"/>
      <c r="IP370" s="8"/>
      <c r="IQ370" s="8"/>
      <c r="IR370" s="8"/>
      <c r="IS370" s="8"/>
      <c r="IT370" s="8"/>
      <c r="IU370" s="8"/>
      <c r="IV370" s="8"/>
    </row>
    <row r="371" ht="12.75" customHeight="1">
      <c r="A371" s="8"/>
      <c r="HT371" s="8"/>
      <c r="HU371" s="8"/>
      <c r="HV371" s="8"/>
      <c r="HW371" s="8"/>
      <c r="HX371" s="8"/>
      <c r="HY371" s="8"/>
      <c r="HZ371" s="8"/>
      <c r="IA371" s="8"/>
      <c r="IB371" s="8"/>
      <c r="IC371" s="8"/>
      <c r="ID371" s="8"/>
      <c r="IE371" s="8"/>
      <c r="IF371" s="8"/>
      <c r="IG371" s="8"/>
      <c r="IH371" s="8"/>
      <c r="II371" s="8"/>
      <c r="IJ371" s="8"/>
      <c r="IK371" s="8"/>
      <c r="IL371" s="8"/>
      <c r="IM371" s="8"/>
      <c r="IN371" s="8"/>
      <c r="IO371" s="8"/>
      <c r="IP371" s="8"/>
      <c r="IQ371" s="8"/>
      <c r="IR371" s="8"/>
      <c r="IS371" s="8"/>
      <c r="IT371" s="8"/>
      <c r="IU371" s="8"/>
      <c r="IV371" s="8"/>
    </row>
    <row r="372" ht="12.75" customHeight="1">
      <c r="A372" s="8"/>
      <c r="HT372" s="8"/>
      <c r="HU372" s="8"/>
      <c r="HV372" s="8"/>
      <c r="HW372" s="8"/>
      <c r="HX372" s="8"/>
      <c r="HY372" s="8"/>
      <c r="HZ372" s="8"/>
      <c r="IA372" s="8"/>
      <c r="IB372" s="8"/>
      <c r="IC372" s="8"/>
      <c r="ID372" s="8"/>
      <c r="IE372" s="8"/>
      <c r="IF372" s="8"/>
      <c r="IG372" s="8"/>
      <c r="IH372" s="8"/>
      <c r="II372" s="8"/>
      <c r="IJ372" s="8"/>
      <c r="IK372" s="8"/>
      <c r="IL372" s="8"/>
      <c r="IM372" s="8"/>
      <c r="IN372" s="8"/>
      <c r="IO372" s="8"/>
      <c r="IP372" s="8"/>
      <c r="IQ372" s="8"/>
      <c r="IR372" s="8"/>
      <c r="IS372" s="8"/>
      <c r="IT372" s="8"/>
      <c r="IU372" s="8"/>
      <c r="IV372" s="8"/>
    </row>
    <row r="373" ht="12.75" customHeight="1">
      <c r="A373" s="8"/>
      <c r="HT373" s="8"/>
      <c r="HU373" s="8"/>
      <c r="HV373" s="8"/>
      <c r="HW373" s="8"/>
      <c r="HX373" s="8"/>
      <c r="HY373" s="8"/>
      <c r="HZ373" s="8"/>
      <c r="IA373" s="8"/>
      <c r="IB373" s="8"/>
      <c r="IC373" s="8"/>
      <c r="ID373" s="8"/>
      <c r="IE373" s="8"/>
      <c r="IF373" s="8"/>
      <c r="IG373" s="8"/>
      <c r="IH373" s="8"/>
      <c r="II373" s="8"/>
      <c r="IJ373" s="8"/>
      <c r="IK373" s="8"/>
      <c r="IL373" s="8"/>
      <c r="IM373" s="8"/>
      <c r="IN373" s="8"/>
      <c r="IO373" s="8"/>
      <c r="IP373" s="8"/>
      <c r="IQ373" s="8"/>
      <c r="IR373" s="8"/>
      <c r="IS373" s="8"/>
      <c r="IT373" s="8"/>
      <c r="IU373" s="8"/>
      <c r="IV373" s="8"/>
    </row>
    <row r="374" ht="12.75" customHeight="1">
      <c r="A374" s="8"/>
      <c r="HT374" s="8"/>
      <c r="HU374" s="8"/>
      <c r="HV374" s="8"/>
      <c r="HW374" s="8"/>
      <c r="HX374" s="8"/>
      <c r="HY374" s="8"/>
      <c r="HZ374" s="8"/>
      <c r="IA374" s="8"/>
      <c r="IB374" s="8"/>
      <c r="IC374" s="8"/>
      <c r="ID374" s="8"/>
      <c r="IE374" s="8"/>
      <c r="IF374" s="8"/>
      <c r="IG374" s="8"/>
      <c r="IH374" s="8"/>
      <c r="II374" s="8"/>
      <c r="IJ374" s="8"/>
      <c r="IK374" s="8"/>
      <c r="IL374" s="8"/>
      <c r="IM374" s="8"/>
      <c r="IN374" s="8"/>
      <c r="IO374" s="8"/>
      <c r="IP374" s="8"/>
      <c r="IQ374" s="8"/>
      <c r="IR374" s="8"/>
      <c r="IS374" s="8"/>
      <c r="IT374" s="8"/>
      <c r="IU374" s="8"/>
      <c r="IV374" s="8"/>
    </row>
    <row r="375" ht="12.75" customHeight="1">
      <c r="A375" s="8"/>
      <c r="HT375" s="8"/>
      <c r="HU375" s="8"/>
      <c r="HV375" s="8"/>
      <c r="HW375" s="8"/>
      <c r="HX375" s="8"/>
      <c r="HY375" s="8"/>
      <c r="HZ375" s="8"/>
      <c r="IA375" s="8"/>
      <c r="IB375" s="8"/>
      <c r="IC375" s="8"/>
      <c r="ID375" s="8"/>
      <c r="IE375" s="8"/>
      <c r="IF375" s="8"/>
      <c r="IG375" s="8"/>
      <c r="IH375" s="8"/>
      <c r="II375" s="8"/>
      <c r="IJ375" s="8"/>
      <c r="IK375" s="8"/>
      <c r="IL375" s="8"/>
      <c r="IM375" s="8"/>
      <c r="IN375" s="8"/>
      <c r="IO375" s="8"/>
      <c r="IP375" s="8"/>
      <c r="IQ375" s="8"/>
      <c r="IR375" s="8"/>
      <c r="IS375" s="8"/>
      <c r="IT375" s="8"/>
      <c r="IU375" s="8"/>
      <c r="IV375" s="8"/>
    </row>
    <row r="376" ht="12.75" customHeight="1">
      <c r="A376" s="8"/>
      <c r="HT376" s="8"/>
      <c r="HU376" s="8"/>
      <c r="HV376" s="8"/>
      <c r="HW376" s="8"/>
      <c r="HX376" s="8"/>
      <c r="HY376" s="8"/>
      <c r="HZ376" s="8"/>
      <c r="IA376" s="8"/>
      <c r="IB376" s="8"/>
      <c r="IC376" s="8"/>
      <c r="ID376" s="8"/>
      <c r="IE376" s="8"/>
      <c r="IF376" s="8"/>
      <c r="IG376" s="8"/>
      <c r="IH376" s="8"/>
      <c r="II376" s="8"/>
      <c r="IJ376" s="8"/>
      <c r="IK376" s="8"/>
      <c r="IL376" s="8"/>
      <c r="IM376" s="8"/>
      <c r="IN376" s="8"/>
      <c r="IO376" s="8"/>
      <c r="IP376" s="8"/>
      <c r="IQ376" s="8"/>
      <c r="IR376" s="8"/>
      <c r="IS376" s="8"/>
      <c r="IT376" s="8"/>
      <c r="IU376" s="8"/>
      <c r="IV376" s="8"/>
    </row>
    <row r="377" ht="12.75" customHeight="1">
      <c r="A377" s="8"/>
      <c r="HT377" s="8"/>
      <c r="HU377" s="8"/>
      <c r="HV377" s="8"/>
      <c r="HW377" s="8"/>
      <c r="HX377" s="8"/>
      <c r="HY377" s="8"/>
      <c r="HZ377" s="8"/>
      <c r="IA377" s="8"/>
      <c r="IB377" s="8"/>
      <c r="IC377" s="8"/>
      <c r="ID377" s="8"/>
      <c r="IE377" s="8"/>
      <c r="IF377" s="8"/>
      <c r="IG377" s="8"/>
      <c r="IH377" s="8"/>
      <c r="II377" s="8"/>
      <c r="IJ377" s="8"/>
      <c r="IK377" s="8"/>
      <c r="IL377" s="8"/>
      <c r="IM377" s="8"/>
      <c r="IN377" s="8"/>
      <c r="IO377" s="8"/>
      <c r="IP377" s="8"/>
      <c r="IQ377" s="8"/>
      <c r="IR377" s="8"/>
      <c r="IS377" s="8"/>
      <c r="IT377" s="8"/>
      <c r="IU377" s="8"/>
      <c r="IV377" s="8"/>
    </row>
    <row r="378" ht="12.75" customHeight="1">
      <c r="A378" s="8"/>
      <c r="HT378" s="8"/>
      <c r="HU378" s="8"/>
      <c r="HV378" s="8"/>
      <c r="HW378" s="8"/>
      <c r="HX378" s="8"/>
      <c r="HY378" s="8"/>
      <c r="HZ378" s="8"/>
      <c r="IA378" s="8"/>
      <c r="IB378" s="8"/>
      <c r="IC378" s="8"/>
      <c r="ID378" s="8"/>
      <c r="IE378" s="8"/>
      <c r="IF378" s="8"/>
      <c r="IG378" s="8"/>
      <c r="IH378" s="8"/>
      <c r="II378" s="8"/>
      <c r="IJ378" s="8"/>
      <c r="IK378" s="8"/>
      <c r="IL378" s="8"/>
      <c r="IM378" s="8"/>
      <c r="IN378" s="8"/>
      <c r="IO378" s="8"/>
      <c r="IP378" s="8"/>
      <c r="IQ378" s="8"/>
      <c r="IR378" s="8"/>
      <c r="IS378" s="8"/>
      <c r="IT378" s="8"/>
      <c r="IU378" s="8"/>
      <c r="IV378" s="8"/>
    </row>
    <row r="379" ht="12.75" customHeight="1">
      <c r="A379" s="8"/>
      <c r="HT379" s="8"/>
      <c r="HU379" s="8"/>
      <c r="HV379" s="8"/>
      <c r="HW379" s="8"/>
      <c r="HX379" s="8"/>
      <c r="HY379" s="8"/>
      <c r="HZ379" s="8"/>
      <c r="IA379" s="8"/>
      <c r="IB379" s="8"/>
      <c r="IC379" s="8"/>
      <c r="ID379" s="8"/>
      <c r="IE379" s="8"/>
      <c r="IF379" s="8"/>
      <c r="IG379" s="8"/>
      <c r="IH379" s="8"/>
      <c r="II379" s="8"/>
      <c r="IJ379" s="8"/>
      <c r="IK379" s="8"/>
      <c r="IL379" s="8"/>
      <c r="IM379" s="8"/>
      <c r="IN379" s="8"/>
      <c r="IO379" s="8"/>
      <c r="IP379" s="8"/>
      <c r="IQ379" s="8"/>
      <c r="IR379" s="8"/>
      <c r="IS379" s="8"/>
      <c r="IT379" s="8"/>
      <c r="IU379" s="8"/>
      <c r="IV379" s="8"/>
    </row>
    <row r="380" ht="12.75" customHeight="1">
      <c r="A380" s="8"/>
      <c r="HT380" s="8"/>
      <c r="HU380" s="8"/>
      <c r="HV380" s="8"/>
      <c r="HW380" s="8"/>
      <c r="HX380" s="8"/>
      <c r="HY380" s="8"/>
      <c r="HZ380" s="8"/>
      <c r="IA380" s="8"/>
      <c r="IB380" s="8"/>
      <c r="IC380" s="8"/>
      <c r="ID380" s="8"/>
      <c r="IE380" s="8"/>
      <c r="IF380" s="8"/>
      <c r="IG380" s="8"/>
      <c r="IH380" s="8"/>
      <c r="II380" s="8"/>
      <c r="IJ380" s="8"/>
      <c r="IK380" s="8"/>
      <c r="IL380" s="8"/>
      <c r="IM380" s="8"/>
      <c r="IN380" s="8"/>
      <c r="IO380" s="8"/>
      <c r="IP380" s="8"/>
      <c r="IQ380" s="8"/>
      <c r="IR380" s="8"/>
      <c r="IS380" s="8"/>
      <c r="IT380" s="8"/>
      <c r="IU380" s="8"/>
      <c r="IV380" s="8"/>
    </row>
    <row r="381" ht="12.75" customHeight="1">
      <c r="A381" s="8"/>
      <c r="HT381" s="8"/>
      <c r="HU381" s="8"/>
      <c r="HV381" s="8"/>
      <c r="HW381" s="8"/>
      <c r="HX381" s="8"/>
      <c r="HY381" s="8"/>
      <c r="HZ381" s="8"/>
      <c r="IA381" s="8"/>
      <c r="IB381" s="8"/>
      <c r="IC381" s="8"/>
      <c r="ID381" s="8"/>
      <c r="IE381" s="8"/>
      <c r="IF381" s="8"/>
      <c r="IG381" s="8"/>
      <c r="IH381" s="8"/>
      <c r="II381" s="8"/>
      <c r="IJ381" s="8"/>
      <c r="IK381" s="8"/>
      <c r="IL381" s="8"/>
      <c r="IM381" s="8"/>
      <c r="IN381" s="8"/>
      <c r="IO381" s="8"/>
      <c r="IP381" s="8"/>
      <c r="IQ381" s="8"/>
      <c r="IR381" s="8"/>
      <c r="IS381" s="8"/>
      <c r="IT381" s="8"/>
      <c r="IU381" s="8"/>
      <c r="IV381" s="8"/>
    </row>
    <row r="382" ht="12.75" customHeight="1">
      <c r="A382" s="8"/>
      <c r="HT382" s="8"/>
      <c r="HU382" s="8"/>
      <c r="HV382" s="8"/>
      <c r="HW382" s="8"/>
      <c r="HX382" s="8"/>
      <c r="HY382" s="8"/>
      <c r="HZ382" s="8"/>
      <c r="IA382" s="8"/>
      <c r="IB382" s="8"/>
      <c r="IC382" s="8"/>
      <c r="ID382" s="8"/>
      <c r="IE382" s="8"/>
      <c r="IF382" s="8"/>
      <c r="IG382" s="8"/>
      <c r="IH382" s="8"/>
      <c r="II382" s="8"/>
      <c r="IJ382" s="8"/>
      <c r="IK382" s="8"/>
      <c r="IL382" s="8"/>
      <c r="IM382" s="8"/>
      <c r="IN382" s="8"/>
      <c r="IO382" s="8"/>
      <c r="IP382" s="8"/>
      <c r="IQ382" s="8"/>
      <c r="IR382" s="8"/>
      <c r="IS382" s="8"/>
      <c r="IT382" s="8"/>
      <c r="IU382" s="8"/>
      <c r="IV382" s="8"/>
    </row>
    <row r="383" ht="12.75" customHeight="1">
      <c r="A383" s="8"/>
      <c r="HT383" s="8"/>
      <c r="HU383" s="8"/>
      <c r="HV383" s="8"/>
      <c r="HW383" s="8"/>
      <c r="HX383" s="8"/>
      <c r="HY383" s="8"/>
      <c r="HZ383" s="8"/>
      <c r="IA383" s="8"/>
      <c r="IB383" s="8"/>
      <c r="IC383" s="8"/>
      <c r="ID383" s="8"/>
      <c r="IE383" s="8"/>
      <c r="IF383" s="8"/>
      <c r="IG383" s="8"/>
      <c r="IH383" s="8"/>
      <c r="II383" s="8"/>
      <c r="IJ383" s="8"/>
      <c r="IK383" s="8"/>
      <c r="IL383" s="8"/>
      <c r="IM383" s="8"/>
      <c r="IN383" s="8"/>
      <c r="IO383" s="8"/>
      <c r="IP383" s="8"/>
      <c r="IQ383" s="8"/>
      <c r="IR383" s="8"/>
      <c r="IS383" s="8"/>
      <c r="IT383" s="8"/>
      <c r="IU383" s="8"/>
      <c r="IV383" s="8"/>
    </row>
    <row r="384" ht="12.75" customHeight="1">
      <c r="A384" s="8"/>
      <c r="HT384" s="8"/>
      <c r="HU384" s="8"/>
      <c r="HV384" s="8"/>
      <c r="HW384" s="8"/>
      <c r="HX384" s="8"/>
      <c r="HY384" s="8"/>
      <c r="HZ384" s="8"/>
      <c r="IA384" s="8"/>
      <c r="IB384" s="8"/>
      <c r="IC384" s="8"/>
      <c r="ID384" s="8"/>
      <c r="IE384" s="8"/>
      <c r="IF384" s="8"/>
      <c r="IG384" s="8"/>
      <c r="IH384" s="8"/>
      <c r="II384" s="8"/>
      <c r="IJ384" s="8"/>
      <c r="IK384" s="8"/>
      <c r="IL384" s="8"/>
      <c r="IM384" s="8"/>
      <c r="IN384" s="8"/>
      <c r="IO384" s="8"/>
      <c r="IP384" s="8"/>
      <c r="IQ384" s="8"/>
      <c r="IR384" s="8"/>
      <c r="IS384" s="8"/>
      <c r="IT384" s="8"/>
      <c r="IU384" s="8"/>
      <c r="IV384" s="8"/>
    </row>
    <row r="385" ht="12.75" customHeight="1">
      <c r="A385" s="8"/>
      <c r="HT385" s="8"/>
      <c r="HU385" s="8"/>
      <c r="HV385" s="8"/>
      <c r="HW385" s="8"/>
      <c r="HX385" s="8"/>
      <c r="HY385" s="8"/>
      <c r="HZ385" s="8"/>
      <c r="IA385" s="8"/>
      <c r="IB385" s="8"/>
      <c r="IC385" s="8"/>
      <c r="ID385" s="8"/>
      <c r="IE385" s="8"/>
      <c r="IF385" s="8"/>
      <c r="IG385" s="8"/>
      <c r="IH385" s="8"/>
      <c r="II385" s="8"/>
      <c r="IJ385" s="8"/>
      <c r="IK385" s="8"/>
      <c r="IL385" s="8"/>
      <c r="IM385" s="8"/>
      <c r="IN385" s="8"/>
      <c r="IO385" s="8"/>
      <c r="IP385" s="8"/>
      <c r="IQ385" s="8"/>
      <c r="IR385" s="8"/>
      <c r="IS385" s="8"/>
      <c r="IT385" s="8"/>
      <c r="IU385" s="8"/>
      <c r="IV385" s="8"/>
    </row>
    <row r="386" ht="12.75" customHeight="1">
      <c r="A386" s="8"/>
      <c r="HT386" s="8"/>
      <c r="HU386" s="8"/>
      <c r="HV386" s="8"/>
      <c r="HW386" s="8"/>
      <c r="HX386" s="8"/>
      <c r="HY386" s="8"/>
      <c r="HZ386" s="8"/>
      <c r="IA386" s="8"/>
      <c r="IB386" s="8"/>
      <c r="IC386" s="8"/>
      <c r="ID386" s="8"/>
      <c r="IE386" s="8"/>
      <c r="IF386" s="8"/>
      <c r="IG386" s="8"/>
      <c r="IH386" s="8"/>
      <c r="II386" s="8"/>
      <c r="IJ386" s="8"/>
      <c r="IK386" s="8"/>
      <c r="IL386" s="8"/>
      <c r="IM386" s="8"/>
      <c r="IN386" s="8"/>
      <c r="IO386" s="8"/>
      <c r="IP386" s="8"/>
      <c r="IQ386" s="8"/>
      <c r="IR386" s="8"/>
      <c r="IS386" s="8"/>
      <c r="IT386" s="8"/>
      <c r="IU386" s="8"/>
      <c r="IV386" s="8"/>
    </row>
    <row r="387" ht="12.75" customHeight="1">
      <c r="A387" s="8"/>
      <c r="HT387" s="8"/>
      <c r="HU387" s="8"/>
      <c r="HV387" s="8"/>
      <c r="HW387" s="8"/>
      <c r="HX387" s="8"/>
      <c r="HY387" s="8"/>
      <c r="HZ387" s="8"/>
      <c r="IA387" s="8"/>
      <c r="IB387" s="8"/>
      <c r="IC387" s="8"/>
      <c r="ID387" s="8"/>
      <c r="IE387" s="8"/>
      <c r="IF387" s="8"/>
      <c r="IG387" s="8"/>
      <c r="IH387" s="8"/>
      <c r="II387" s="8"/>
      <c r="IJ387" s="8"/>
      <c r="IK387" s="8"/>
      <c r="IL387" s="8"/>
      <c r="IM387" s="8"/>
      <c r="IN387" s="8"/>
      <c r="IO387" s="8"/>
      <c r="IP387" s="8"/>
      <c r="IQ387" s="8"/>
      <c r="IR387" s="8"/>
      <c r="IS387" s="8"/>
      <c r="IT387" s="8"/>
      <c r="IU387" s="8"/>
      <c r="IV387" s="8"/>
    </row>
    <row r="388" ht="12.75" customHeight="1">
      <c r="A388" s="8"/>
      <c r="HT388" s="8"/>
      <c r="HU388" s="8"/>
      <c r="HV388" s="8"/>
      <c r="HW388" s="8"/>
      <c r="HX388" s="8"/>
      <c r="HY388" s="8"/>
      <c r="HZ388" s="8"/>
      <c r="IA388" s="8"/>
      <c r="IB388" s="8"/>
      <c r="IC388" s="8"/>
      <c r="ID388" s="8"/>
      <c r="IE388" s="8"/>
      <c r="IF388" s="8"/>
      <c r="IG388" s="8"/>
      <c r="IH388" s="8"/>
      <c r="II388" s="8"/>
      <c r="IJ388" s="8"/>
      <c r="IK388" s="8"/>
      <c r="IL388" s="8"/>
      <c r="IM388" s="8"/>
      <c r="IN388" s="8"/>
      <c r="IO388" s="8"/>
      <c r="IP388" s="8"/>
      <c r="IQ388" s="8"/>
      <c r="IR388" s="8"/>
      <c r="IS388" s="8"/>
      <c r="IT388" s="8"/>
      <c r="IU388" s="8"/>
      <c r="IV388" s="8"/>
    </row>
    <row r="389" ht="12.75" customHeight="1">
      <c r="A389" s="8"/>
      <c r="HT389" s="8"/>
      <c r="HU389" s="8"/>
      <c r="HV389" s="8"/>
      <c r="HW389" s="8"/>
      <c r="HX389" s="8"/>
      <c r="HY389" s="8"/>
      <c r="HZ389" s="8"/>
      <c r="IA389" s="8"/>
      <c r="IB389" s="8"/>
      <c r="IC389" s="8"/>
      <c r="ID389" s="8"/>
      <c r="IE389" s="8"/>
      <c r="IF389" s="8"/>
      <c r="IG389" s="8"/>
      <c r="IH389" s="8"/>
      <c r="II389" s="8"/>
      <c r="IJ389" s="8"/>
      <c r="IK389" s="8"/>
      <c r="IL389" s="8"/>
      <c r="IM389" s="8"/>
      <c r="IN389" s="8"/>
      <c r="IO389" s="8"/>
      <c r="IP389" s="8"/>
      <c r="IQ389" s="8"/>
      <c r="IR389" s="8"/>
      <c r="IS389" s="8"/>
      <c r="IT389" s="8"/>
      <c r="IU389" s="8"/>
      <c r="IV389" s="8"/>
    </row>
    <row r="390" ht="12.75" customHeight="1">
      <c r="A390" s="8"/>
      <c r="HT390" s="8"/>
      <c r="HU390" s="8"/>
      <c r="HV390" s="8"/>
      <c r="HW390" s="8"/>
      <c r="HX390" s="8"/>
      <c r="HY390" s="8"/>
      <c r="HZ390" s="8"/>
      <c r="IA390" s="8"/>
      <c r="IB390" s="8"/>
      <c r="IC390" s="8"/>
      <c r="ID390" s="8"/>
      <c r="IE390" s="8"/>
      <c r="IF390" s="8"/>
      <c r="IG390" s="8"/>
      <c r="IH390" s="8"/>
      <c r="II390" s="8"/>
      <c r="IJ390" s="8"/>
      <c r="IK390" s="8"/>
      <c r="IL390" s="8"/>
      <c r="IM390" s="8"/>
      <c r="IN390" s="8"/>
      <c r="IO390" s="8"/>
      <c r="IP390" s="8"/>
      <c r="IQ390" s="8"/>
      <c r="IR390" s="8"/>
      <c r="IS390" s="8"/>
      <c r="IT390" s="8"/>
      <c r="IU390" s="8"/>
      <c r="IV390" s="8"/>
    </row>
    <row r="391" ht="12.75" customHeight="1">
      <c r="A391" s="8"/>
      <c r="HT391" s="8"/>
      <c r="HU391" s="8"/>
      <c r="HV391" s="8"/>
      <c r="HW391" s="8"/>
      <c r="HX391" s="8"/>
      <c r="HY391" s="8"/>
      <c r="HZ391" s="8"/>
      <c r="IA391" s="8"/>
      <c r="IB391" s="8"/>
      <c r="IC391" s="8"/>
      <c r="ID391" s="8"/>
      <c r="IE391" s="8"/>
      <c r="IF391" s="8"/>
      <c r="IG391" s="8"/>
      <c r="IH391" s="8"/>
      <c r="II391" s="8"/>
      <c r="IJ391" s="8"/>
      <c r="IK391" s="8"/>
      <c r="IL391" s="8"/>
      <c r="IM391" s="8"/>
      <c r="IN391" s="8"/>
      <c r="IO391" s="8"/>
      <c r="IP391" s="8"/>
      <c r="IQ391" s="8"/>
      <c r="IR391" s="8"/>
      <c r="IS391" s="8"/>
      <c r="IT391" s="8"/>
      <c r="IU391" s="8"/>
      <c r="IV391" s="8"/>
    </row>
    <row r="392" ht="12.75" customHeight="1">
      <c r="A392" s="8"/>
      <c r="HT392" s="8"/>
      <c r="HU392" s="8"/>
      <c r="HV392" s="8"/>
      <c r="HW392" s="8"/>
      <c r="HX392" s="8"/>
      <c r="HY392" s="8"/>
      <c r="HZ392" s="8"/>
      <c r="IA392" s="8"/>
      <c r="IB392" s="8"/>
      <c r="IC392" s="8"/>
      <c r="ID392" s="8"/>
      <c r="IE392" s="8"/>
      <c r="IF392" s="8"/>
      <c r="IG392" s="8"/>
      <c r="IH392" s="8"/>
      <c r="II392" s="8"/>
      <c r="IJ392" s="8"/>
      <c r="IK392" s="8"/>
      <c r="IL392" s="8"/>
      <c r="IM392" s="8"/>
      <c r="IN392" s="8"/>
      <c r="IO392" s="8"/>
      <c r="IP392" s="8"/>
      <c r="IQ392" s="8"/>
      <c r="IR392" s="8"/>
      <c r="IS392" s="8"/>
      <c r="IT392" s="8"/>
      <c r="IU392" s="8"/>
      <c r="IV392" s="8"/>
    </row>
    <row r="393" ht="12.75" customHeight="1">
      <c r="A393" s="8"/>
      <c r="HT393" s="8"/>
      <c r="HU393" s="8"/>
      <c r="HV393" s="8"/>
      <c r="HW393" s="8"/>
      <c r="HX393" s="8"/>
      <c r="HY393" s="8"/>
      <c r="HZ393" s="8"/>
      <c r="IA393" s="8"/>
      <c r="IB393" s="8"/>
      <c r="IC393" s="8"/>
      <c r="ID393" s="8"/>
      <c r="IE393" s="8"/>
      <c r="IF393" s="8"/>
      <c r="IG393" s="8"/>
      <c r="IH393" s="8"/>
      <c r="II393" s="8"/>
      <c r="IJ393" s="8"/>
      <c r="IK393" s="8"/>
      <c r="IL393" s="8"/>
      <c r="IM393" s="8"/>
      <c r="IN393" s="8"/>
      <c r="IO393" s="8"/>
      <c r="IP393" s="8"/>
      <c r="IQ393" s="8"/>
      <c r="IR393" s="8"/>
      <c r="IS393" s="8"/>
      <c r="IT393" s="8"/>
      <c r="IU393" s="8"/>
      <c r="IV393" s="8"/>
    </row>
    <row r="394" ht="12.75" customHeight="1">
      <c r="A394" s="8"/>
      <c r="HT394" s="8"/>
      <c r="HU394" s="8"/>
      <c r="HV394" s="8"/>
      <c r="HW394" s="8"/>
      <c r="HX394" s="8"/>
      <c r="HY394" s="8"/>
      <c r="HZ394" s="8"/>
      <c r="IA394" s="8"/>
      <c r="IB394" s="8"/>
      <c r="IC394" s="8"/>
      <c r="ID394" s="8"/>
      <c r="IE394" s="8"/>
      <c r="IF394" s="8"/>
      <c r="IG394" s="8"/>
      <c r="IH394" s="8"/>
      <c r="II394" s="8"/>
      <c r="IJ394" s="8"/>
      <c r="IK394" s="8"/>
      <c r="IL394" s="8"/>
      <c r="IM394" s="8"/>
      <c r="IN394" s="8"/>
      <c r="IO394" s="8"/>
      <c r="IP394" s="8"/>
      <c r="IQ394" s="8"/>
      <c r="IR394" s="8"/>
      <c r="IS394" s="8"/>
      <c r="IT394" s="8"/>
      <c r="IU394" s="8"/>
      <c r="IV394" s="8"/>
    </row>
    <row r="395" ht="12.75" customHeight="1">
      <c r="A395" s="8"/>
      <c r="HT395" s="8"/>
      <c r="HU395" s="8"/>
      <c r="HV395" s="8"/>
      <c r="HW395" s="8"/>
      <c r="HX395" s="8"/>
      <c r="HY395" s="8"/>
      <c r="HZ395" s="8"/>
      <c r="IA395" s="8"/>
      <c r="IB395" s="8"/>
      <c r="IC395" s="8"/>
      <c r="ID395" s="8"/>
      <c r="IE395" s="8"/>
      <c r="IF395" s="8"/>
      <c r="IG395" s="8"/>
      <c r="IH395" s="8"/>
      <c r="II395" s="8"/>
      <c r="IJ395" s="8"/>
      <c r="IK395" s="8"/>
      <c r="IL395" s="8"/>
      <c r="IM395" s="8"/>
      <c r="IN395" s="8"/>
      <c r="IO395" s="8"/>
      <c r="IP395" s="8"/>
      <c r="IQ395" s="8"/>
      <c r="IR395" s="8"/>
      <c r="IS395" s="8"/>
      <c r="IT395" s="8"/>
      <c r="IU395" s="8"/>
      <c r="IV395" s="8"/>
    </row>
    <row r="396" ht="12.75" customHeight="1">
      <c r="A396" s="8"/>
      <c r="HT396" s="8"/>
      <c r="HU396" s="8"/>
      <c r="HV396" s="8"/>
      <c r="HW396" s="8"/>
      <c r="HX396" s="8"/>
      <c r="HY396" s="8"/>
      <c r="HZ396" s="8"/>
      <c r="IA396" s="8"/>
      <c r="IB396" s="8"/>
      <c r="IC396" s="8"/>
      <c r="ID396" s="8"/>
      <c r="IE396" s="8"/>
      <c r="IF396" s="8"/>
      <c r="IG396" s="8"/>
      <c r="IH396" s="8"/>
      <c r="II396" s="8"/>
      <c r="IJ396" s="8"/>
      <c r="IK396" s="8"/>
      <c r="IL396" s="8"/>
      <c r="IM396" s="8"/>
      <c r="IN396" s="8"/>
      <c r="IO396" s="8"/>
      <c r="IP396" s="8"/>
      <c r="IQ396" s="8"/>
      <c r="IR396" s="8"/>
      <c r="IS396" s="8"/>
      <c r="IT396" s="8"/>
      <c r="IU396" s="8"/>
      <c r="IV396" s="8"/>
    </row>
    <row r="397" ht="12.75" customHeight="1">
      <c r="A397" s="8"/>
      <c r="HT397" s="8"/>
      <c r="HU397" s="8"/>
      <c r="HV397" s="8"/>
      <c r="HW397" s="8"/>
      <c r="HX397" s="8"/>
      <c r="HY397" s="8"/>
      <c r="HZ397" s="8"/>
      <c r="IA397" s="8"/>
      <c r="IB397" s="8"/>
      <c r="IC397" s="8"/>
      <c r="ID397" s="8"/>
      <c r="IE397" s="8"/>
      <c r="IF397" s="8"/>
      <c r="IG397" s="8"/>
      <c r="IH397" s="8"/>
      <c r="II397" s="8"/>
      <c r="IJ397" s="8"/>
      <c r="IK397" s="8"/>
      <c r="IL397" s="8"/>
      <c r="IM397" s="8"/>
      <c r="IN397" s="8"/>
      <c r="IO397" s="8"/>
      <c r="IP397" s="8"/>
      <c r="IQ397" s="8"/>
      <c r="IR397" s="8"/>
      <c r="IS397" s="8"/>
      <c r="IT397" s="8"/>
      <c r="IU397" s="8"/>
      <c r="IV397" s="8"/>
    </row>
    <row r="398" ht="12.75" customHeight="1">
      <c r="A398" s="8"/>
      <c r="HT398" s="8"/>
      <c r="HU398" s="8"/>
      <c r="HV398" s="8"/>
      <c r="HW398" s="8"/>
      <c r="HX398" s="8"/>
      <c r="HY398" s="8"/>
      <c r="HZ398" s="8"/>
      <c r="IA398" s="8"/>
      <c r="IB398" s="8"/>
      <c r="IC398" s="8"/>
      <c r="ID398" s="8"/>
      <c r="IE398" s="8"/>
      <c r="IF398" s="8"/>
      <c r="IG398" s="8"/>
      <c r="IH398" s="8"/>
      <c r="II398" s="8"/>
      <c r="IJ398" s="8"/>
      <c r="IK398" s="8"/>
      <c r="IL398" s="8"/>
      <c r="IM398" s="8"/>
      <c r="IN398" s="8"/>
      <c r="IO398" s="8"/>
      <c r="IP398" s="8"/>
      <c r="IQ398" s="8"/>
      <c r="IR398" s="8"/>
      <c r="IS398" s="8"/>
      <c r="IT398" s="8"/>
      <c r="IU398" s="8"/>
      <c r="IV398" s="8"/>
    </row>
    <row r="399" ht="12.75" customHeight="1">
      <c r="A399" s="8"/>
      <c r="HT399" s="8"/>
      <c r="HU399" s="8"/>
      <c r="HV399" s="8"/>
      <c r="HW399" s="8"/>
      <c r="HX399" s="8"/>
      <c r="HY399" s="8"/>
      <c r="HZ399" s="8"/>
      <c r="IA399" s="8"/>
      <c r="IB399" s="8"/>
      <c r="IC399" s="8"/>
      <c r="ID399" s="8"/>
      <c r="IE399" s="8"/>
      <c r="IF399" s="8"/>
      <c r="IG399" s="8"/>
      <c r="IH399" s="8"/>
      <c r="II399" s="8"/>
      <c r="IJ399" s="8"/>
      <c r="IK399" s="8"/>
      <c r="IL399" s="8"/>
      <c r="IM399" s="8"/>
      <c r="IN399" s="8"/>
      <c r="IO399" s="8"/>
      <c r="IP399" s="8"/>
      <c r="IQ399" s="8"/>
      <c r="IR399" s="8"/>
      <c r="IS399" s="8"/>
      <c r="IT399" s="8"/>
      <c r="IU399" s="8"/>
      <c r="IV399" s="8"/>
    </row>
    <row r="400" ht="12.75" customHeight="1">
      <c r="A400" s="8"/>
      <c r="HT400" s="8"/>
      <c r="HU400" s="8"/>
      <c r="HV400" s="8"/>
      <c r="HW400" s="8"/>
      <c r="HX400" s="8"/>
      <c r="HY400" s="8"/>
      <c r="HZ400" s="8"/>
      <c r="IA400" s="8"/>
      <c r="IB400" s="8"/>
      <c r="IC400" s="8"/>
      <c r="ID400" s="8"/>
      <c r="IE400" s="8"/>
      <c r="IF400" s="8"/>
      <c r="IG400" s="8"/>
      <c r="IH400" s="8"/>
      <c r="II400" s="8"/>
      <c r="IJ400" s="8"/>
      <c r="IK400" s="8"/>
      <c r="IL400" s="8"/>
      <c r="IM400" s="8"/>
      <c r="IN400" s="8"/>
      <c r="IO400" s="8"/>
      <c r="IP400" s="8"/>
      <c r="IQ400" s="8"/>
      <c r="IR400" s="8"/>
      <c r="IS400" s="8"/>
      <c r="IT400" s="8"/>
      <c r="IU400" s="8"/>
      <c r="IV400" s="8"/>
    </row>
    <row r="401" ht="12.75" customHeight="1">
      <c r="A401" s="8"/>
      <c r="HT401" s="8"/>
      <c r="HU401" s="8"/>
      <c r="HV401" s="8"/>
      <c r="HW401" s="8"/>
      <c r="HX401" s="8"/>
      <c r="HY401" s="8"/>
      <c r="HZ401" s="8"/>
      <c r="IA401" s="8"/>
      <c r="IB401" s="8"/>
      <c r="IC401" s="8"/>
      <c r="ID401" s="8"/>
      <c r="IE401" s="8"/>
      <c r="IF401" s="8"/>
      <c r="IG401" s="8"/>
      <c r="IH401" s="8"/>
      <c r="II401" s="8"/>
      <c r="IJ401" s="8"/>
      <c r="IK401" s="8"/>
      <c r="IL401" s="8"/>
      <c r="IM401" s="8"/>
      <c r="IN401" s="8"/>
      <c r="IO401" s="8"/>
      <c r="IP401" s="8"/>
      <c r="IQ401" s="8"/>
      <c r="IR401" s="8"/>
      <c r="IS401" s="8"/>
      <c r="IT401" s="8"/>
      <c r="IU401" s="8"/>
      <c r="IV401" s="8"/>
    </row>
    <row r="402" ht="12.75" customHeight="1">
      <c r="A402" s="8"/>
      <c r="HT402" s="8"/>
      <c r="HU402" s="8"/>
      <c r="HV402" s="8"/>
      <c r="HW402" s="8"/>
      <c r="HX402" s="8"/>
      <c r="HY402" s="8"/>
      <c r="HZ402" s="8"/>
      <c r="IA402" s="8"/>
      <c r="IB402" s="8"/>
      <c r="IC402" s="8"/>
      <c r="ID402" s="8"/>
      <c r="IE402" s="8"/>
      <c r="IF402" s="8"/>
      <c r="IG402" s="8"/>
      <c r="IH402" s="8"/>
      <c r="II402" s="8"/>
      <c r="IJ402" s="8"/>
      <c r="IK402" s="8"/>
      <c r="IL402" s="8"/>
      <c r="IM402" s="8"/>
      <c r="IN402" s="8"/>
      <c r="IO402" s="8"/>
      <c r="IP402" s="8"/>
      <c r="IQ402" s="8"/>
      <c r="IR402" s="8"/>
      <c r="IS402" s="8"/>
      <c r="IT402" s="8"/>
      <c r="IU402" s="8"/>
      <c r="IV402" s="8"/>
    </row>
    <row r="403" ht="12.75" customHeight="1">
      <c r="A403" s="8"/>
      <c r="HT403" s="8"/>
      <c r="HU403" s="8"/>
      <c r="HV403" s="8"/>
      <c r="HW403" s="8"/>
      <c r="HX403" s="8"/>
      <c r="HY403" s="8"/>
      <c r="HZ403" s="8"/>
      <c r="IA403" s="8"/>
      <c r="IB403" s="8"/>
      <c r="IC403" s="8"/>
      <c r="ID403" s="8"/>
      <c r="IE403" s="8"/>
      <c r="IF403" s="8"/>
      <c r="IG403" s="8"/>
      <c r="IH403" s="8"/>
      <c r="II403" s="8"/>
      <c r="IJ403" s="8"/>
      <c r="IK403" s="8"/>
      <c r="IL403" s="8"/>
      <c r="IM403" s="8"/>
      <c r="IN403" s="8"/>
      <c r="IO403" s="8"/>
      <c r="IP403" s="8"/>
      <c r="IQ403" s="8"/>
      <c r="IR403" s="8"/>
      <c r="IS403" s="8"/>
      <c r="IT403" s="8"/>
      <c r="IU403" s="8"/>
      <c r="IV403" s="8"/>
    </row>
    <row r="404" ht="12.75" customHeight="1">
      <c r="A404" s="8"/>
      <c r="HT404" s="8"/>
      <c r="HU404" s="8"/>
      <c r="HV404" s="8"/>
      <c r="HW404" s="8"/>
      <c r="HX404" s="8"/>
      <c r="HY404" s="8"/>
      <c r="HZ404" s="8"/>
      <c r="IA404" s="8"/>
      <c r="IB404" s="8"/>
      <c r="IC404" s="8"/>
      <c r="ID404" s="8"/>
      <c r="IE404" s="8"/>
      <c r="IF404" s="8"/>
      <c r="IG404" s="8"/>
      <c r="IH404" s="8"/>
      <c r="II404" s="8"/>
      <c r="IJ404" s="8"/>
      <c r="IK404" s="8"/>
      <c r="IL404" s="8"/>
      <c r="IM404" s="8"/>
      <c r="IN404" s="8"/>
      <c r="IO404" s="8"/>
      <c r="IP404" s="8"/>
      <c r="IQ404" s="8"/>
      <c r="IR404" s="8"/>
      <c r="IS404" s="8"/>
      <c r="IT404" s="8"/>
      <c r="IU404" s="8"/>
      <c r="IV404" s="8"/>
    </row>
    <row r="405" ht="12.75" customHeight="1">
      <c r="A405" s="8"/>
      <c r="HT405" s="8"/>
      <c r="HU405" s="8"/>
      <c r="HV405" s="8"/>
      <c r="HW405" s="8"/>
      <c r="HX405" s="8"/>
      <c r="HY405" s="8"/>
      <c r="HZ405" s="8"/>
      <c r="IA405" s="8"/>
      <c r="IB405" s="8"/>
      <c r="IC405" s="8"/>
      <c r="ID405" s="8"/>
      <c r="IE405" s="8"/>
      <c r="IF405" s="8"/>
      <c r="IG405" s="8"/>
      <c r="IH405" s="8"/>
      <c r="II405" s="8"/>
      <c r="IJ405" s="8"/>
      <c r="IK405" s="8"/>
      <c r="IL405" s="8"/>
      <c r="IM405" s="8"/>
      <c r="IN405" s="8"/>
      <c r="IO405" s="8"/>
      <c r="IP405" s="8"/>
      <c r="IQ405" s="8"/>
      <c r="IR405" s="8"/>
      <c r="IS405" s="8"/>
      <c r="IT405" s="8"/>
      <c r="IU405" s="8"/>
      <c r="IV405" s="8"/>
    </row>
    <row r="406" ht="12.75" customHeight="1">
      <c r="A406" s="8"/>
      <c r="HT406" s="8"/>
      <c r="HU406" s="8"/>
      <c r="HV406" s="8"/>
      <c r="HW406" s="8"/>
      <c r="HX406" s="8"/>
      <c r="HY406" s="8"/>
      <c r="HZ406" s="8"/>
      <c r="IA406" s="8"/>
      <c r="IB406" s="8"/>
      <c r="IC406" s="8"/>
      <c r="ID406" s="8"/>
      <c r="IE406" s="8"/>
      <c r="IF406" s="8"/>
      <c r="IG406" s="8"/>
      <c r="IH406" s="8"/>
      <c r="II406" s="8"/>
      <c r="IJ406" s="8"/>
      <c r="IK406" s="8"/>
      <c r="IL406" s="8"/>
      <c r="IM406" s="8"/>
      <c r="IN406" s="8"/>
      <c r="IO406" s="8"/>
      <c r="IP406" s="8"/>
      <c r="IQ406" s="8"/>
      <c r="IR406" s="8"/>
      <c r="IS406" s="8"/>
      <c r="IT406" s="8"/>
      <c r="IU406" s="8"/>
      <c r="IV406" s="8"/>
    </row>
    <row r="407" ht="12.75" customHeight="1">
      <c r="A407" s="8"/>
      <c r="HT407" s="8"/>
      <c r="HU407" s="8"/>
      <c r="HV407" s="8"/>
      <c r="HW407" s="8"/>
      <c r="HX407" s="8"/>
      <c r="HY407" s="8"/>
      <c r="HZ407" s="8"/>
      <c r="IA407" s="8"/>
      <c r="IB407" s="8"/>
      <c r="IC407" s="8"/>
      <c r="ID407" s="8"/>
      <c r="IE407" s="8"/>
      <c r="IF407" s="8"/>
      <c r="IG407" s="8"/>
      <c r="IH407" s="8"/>
      <c r="II407" s="8"/>
      <c r="IJ407" s="8"/>
      <c r="IK407" s="8"/>
      <c r="IL407" s="8"/>
      <c r="IM407" s="8"/>
      <c r="IN407" s="8"/>
      <c r="IO407" s="8"/>
      <c r="IP407" s="8"/>
      <c r="IQ407" s="8"/>
      <c r="IR407" s="8"/>
      <c r="IS407" s="8"/>
      <c r="IT407" s="8"/>
      <c r="IU407" s="8"/>
      <c r="IV407" s="8"/>
    </row>
    <row r="408" ht="12.75" customHeight="1">
      <c r="A408" s="8"/>
      <c r="HT408" s="8"/>
      <c r="HU408" s="8"/>
      <c r="HV408" s="8"/>
      <c r="HW408" s="8"/>
      <c r="HX408" s="8"/>
      <c r="HY408" s="8"/>
      <c r="HZ408" s="8"/>
      <c r="IA408" s="8"/>
      <c r="IB408" s="8"/>
      <c r="IC408" s="8"/>
      <c r="ID408" s="8"/>
      <c r="IE408" s="8"/>
      <c r="IF408" s="8"/>
      <c r="IG408" s="8"/>
      <c r="IH408" s="8"/>
      <c r="II408" s="8"/>
      <c r="IJ408" s="8"/>
      <c r="IK408" s="8"/>
      <c r="IL408" s="8"/>
      <c r="IM408" s="8"/>
      <c r="IN408" s="8"/>
      <c r="IO408" s="8"/>
      <c r="IP408" s="8"/>
      <c r="IQ408" s="8"/>
      <c r="IR408" s="8"/>
      <c r="IS408" s="8"/>
      <c r="IT408" s="8"/>
      <c r="IU408" s="8"/>
      <c r="IV408" s="8"/>
    </row>
    <row r="409" ht="12.75" customHeight="1">
      <c r="A409" s="8"/>
      <c r="HT409" s="8"/>
      <c r="HU409" s="8"/>
      <c r="HV409" s="8"/>
      <c r="HW409" s="8"/>
      <c r="HX409" s="8"/>
      <c r="HY409" s="8"/>
      <c r="HZ409" s="8"/>
      <c r="IA409" s="8"/>
      <c r="IB409" s="8"/>
      <c r="IC409" s="8"/>
      <c r="ID409" s="8"/>
      <c r="IE409" s="8"/>
      <c r="IF409" s="8"/>
      <c r="IG409" s="8"/>
      <c r="IH409" s="8"/>
      <c r="II409" s="8"/>
      <c r="IJ409" s="8"/>
      <c r="IK409" s="8"/>
      <c r="IL409" s="8"/>
      <c r="IM409" s="8"/>
      <c r="IN409" s="8"/>
      <c r="IO409" s="8"/>
      <c r="IP409" s="8"/>
      <c r="IQ409" s="8"/>
      <c r="IR409" s="8"/>
      <c r="IS409" s="8"/>
      <c r="IT409" s="8"/>
      <c r="IU409" s="8"/>
      <c r="IV409" s="8"/>
    </row>
    <row r="410" ht="12.75" customHeight="1">
      <c r="A410" s="8"/>
      <c r="HT410" s="8"/>
      <c r="HU410" s="8"/>
      <c r="HV410" s="8"/>
      <c r="HW410" s="8"/>
      <c r="HX410" s="8"/>
      <c r="HY410" s="8"/>
      <c r="HZ410" s="8"/>
      <c r="IA410" s="8"/>
      <c r="IB410" s="8"/>
      <c r="IC410" s="8"/>
      <c r="ID410" s="8"/>
      <c r="IE410" s="8"/>
      <c r="IF410" s="8"/>
      <c r="IG410" s="8"/>
      <c r="IH410" s="8"/>
      <c r="II410" s="8"/>
      <c r="IJ410" s="8"/>
      <c r="IK410" s="8"/>
      <c r="IL410" s="8"/>
      <c r="IM410" s="8"/>
      <c r="IN410" s="8"/>
      <c r="IO410" s="8"/>
      <c r="IP410" s="8"/>
      <c r="IQ410" s="8"/>
      <c r="IR410" s="8"/>
      <c r="IS410" s="8"/>
      <c r="IT410" s="8"/>
      <c r="IU410" s="8"/>
      <c r="IV410" s="8"/>
    </row>
    <row r="411" ht="12.75" customHeight="1">
      <c r="A411" s="8"/>
      <c r="HT411" s="8"/>
      <c r="HU411" s="8"/>
      <c r="HV411" s="8"/>
      <c r="HW411" s="8"/>
      <c r="HX411" s="8"/>
      <c r="HY411" s="8"/>
      <c r="HZ411" s="8"/>
      <c r="IA411" s="8"/>
      <c r="IB411" s="8"/>
      <c r="IC411" s="8"/>
      <c r="ID411" s="8"/>
      <c r="IE411" s="8"/>
      <c r="IF411" s="8"/>
      <c r="IG411" s="8"/>
      <c r="IH411" s="8"/>
      <c r="II411" s="8"/>
      <c r="IJ411" s="8"/>
      <c r="IK411" s="8"/>
      <c r="IL411" s="8"/>
      <c r="IM411" s="8"/>
      <c r="IN411" s="8"/>
      <c r="IO411" s="8"/>
      <c r="IP411" s="8"/>
      <c r="IQ411" s="8"/>
      <c r="IR411" s="8"/>
      <c r="IS411" s="8"/>
      <c r="IT411" s="8"/>
      <c r="IU411" s="8"/>
      <c r="IV411" s="8"/>
    </row>
    <row r="412" ht="12.75" customHeight="1">
      <c r="A412" s="8"/>
      <c r="HT412" s="8"/>
      <c r="HU412" s="8"/>
      <c r="HV412" s="8"/>
      <c r="HW412" s="8"/>
      <c r="HX412" s="8"/>
      <c r="HY412" s="8"/>
      <c r="HZ412" s="8"/>
      <c r="IA412" s="8"/>
      <c r="IB412" s="8"/>
      <c r="IC412" s="8"/>
      <c r="ID412" s="8"/>
      <c r="IE412" s="8"/>
      <c r="IF412" s="8"/>
      <c r="IG412" s="8"/>
      <c r="IH412" s="8"/>
      <c r="II412" s="8"/>
      <c r="IJ412" s="8"/>
      <c r="IK412" s="8"/>
      <c r="IL412" s="8"/>
      <c r="IM412" s="8"/>
      <c r="IN412" s="8"/>
      <c r="IO412" s="8"/>
      <c r="IP412" s="8"/>
      <c r="IQ412" s="8"/>
      <c r="IR412" s="8"/>
      <c r="IS412" s="8"/>
      <c r="IT412" s="8"/>
      <c r="IU412" s="8"/>
      <c r="IV412" s="8"/>
    </row>
    <row r="413" ht="12.75" customHeight="1">
      <c r="A413" s="8"/>
      <c r="HT413" s="8"/>
      <c r="HU413" s="8"/>
      <c r="HV413" s="8"/>
      <c r="HW413" s="8"/>
      <c r="HX413" s="8"/>
      <c r="HY413" s="8"/>
      <c r="HZ413" s="8"/>
      <c r="IA413" s="8"/>
      <c r="IB413" s="8"/>
      <c r="IC413" s="8"/>
      <c r="ID413" s="8"/>
      <c r="IE413" s="8"/>
      <c r="IF413" s="8"/>
      <c r="IG413" s="8"/>
      <c r="IH413" s="8"/>
      <c r="II413" s="8"/>
      <c r="IJ413" s="8"/>
      <c r="IK413" s="8"/>
      <c r="IL413" s="8"/>
      <c r="IM413" s="8"/>
      <c r="IN413" s="8"/>
      <c r="IO413" s="8"/>
      <c r="IP413" s="8"/>
      <c r="IQ413" s="8"/>
      <c r="IR413" s="8"/>
      <c r="IS413" s="8"/>
      <c r="IT413" s="8"/>
      <c r="IU413" s="8"/>
      <c r="IV413" s="8"/>
    </row>
    <row r="414" ht="12.75" customHeight="1">
      <c r="A414" s="8"/>
      <c r="HT414" s="8"/>
      <c r="HU414" s="8"/>
      <c r="HV414" s="8"/>
      <c r="HW414" s="8"/>
      <c r="HX414" s="8"/>
      <c r="HY414" s="8"/>
      <c r="HZ414" s="8"/>
      <c r="IA414" s="8"/>
      <c r="IB414" s="8"/>
      <c r="IC414" s="8"/>
      <c r="ID414" s="8"/>
      <c r="IE414" s="8"/>
      <c r="IF414" s="8"/>
      <c r="IG414" s="8"/>
      <c r="IH414" s="8"/>
      <c r="II414" s="8"/>
      <c r="IJ414" s="8"/>
      <c r="IK414" s="8"/>
      <c r="IL414" s="8"/>
      <c r="IM414" s="8"/>
      <c r="IN414" s="8"/>
      <c r="IO414" s="8"/>
      <c r="IP414" s="8"/>
      <c r="IQ414" s="8"/>
      <c r="IR414" s="8"/>
      <c r="IS414" s="8"/>
      <c r="IT414" s="8"/>
      <c r="IU414" s="8"/>
      <c r="IV414" s="8"/>
    </row>
    <row r="415" ht="12.75" customHeight="1">
      <c r="A415" s="8"/>
      <c r="HT415" s="8"/>
      <c r="HU415" s="8"/>
      <c r="HV415" s="8"/>
      <c r="HW415" s="8"/>
      <c r="HX415" s="8"/>
      <c r="HY415" s="8"/>
      <c r="HZ415" s="8"/>
      <c r="IA415" s="8"/>
      <c r="IB415" s="8"/>
      <c r="IC415" s="8"/>
      <c r="ID415" s="8"/>
      <c r="IE415" s="8"/>
      <c r="IF415" s="8"/>
      <c r="IG415" s="8"/>
      <c r="IH415" s="8"/>
      <c r="II415" s="8"/>
      <c r="IJ415" s="8"/>
      <c r="IK415" s="8"/>
      <c r="IL415" s="8"/>
      <c r="IM415" s="8"/>
      <c r="IN415" s="8"/>
      <c r="IO415" s="8"/>
      <c r="IP415" s="8"/>
      <c r="IQ415" s="8"/>
      <c r="IR415" s="8"/>
      <c r="IS415" s="8"/>
      <c r="IT415" s="8"/>
      <c r="IU415" s="8"/>
      <c r="IV415" s="8"/>
    </row>
    <row r="416" ht="12.75" customHeight="1">
      <c r="A416" s="8"/>
      <c r="HT416" s="8"/>
      <c r="HU416" s="8"/>
      <c r="HV416" s="8"/>
      <c r="HW416" s="8"/>
      <c r="HX416" s="8"/>
      <c r="HY416" s="8"/>
      <c r="HZ416" s="8"/>
      <c r="IA416" s="8"/>
      <c r="IB416" s="8"/>
      <c r="IC416" s="8"/>
      <c r="ID416" s="8"/>
      <c r="IE416" s="8"/>
      <c r="IF416" s="8"/>
      <c r="IG416" s="8"/>
      <c r="IH416" s="8"/>
      <c r="II416" s="8"/>
      <c r="IJ416" s="8"/>
      <c r="IK416" s="8"/>
      <c r="IL416" s="8"/>
      <c r="IM416" s="8"/>
      <c r="IN416" s="8"/>
      <c r="IO416" s="8"/>
      <c r="IP416" s="8"/>
      <c r="IQ416" s="8"/>
      <c r="IR416" s="8"/>
      <c r="IS416" s="8"/>
      <c r="IT416" s="8"/>
      <c r="IU416" s="8"/>
      <c r="IV416" s="8"/>
    </row>
    <row r="417" ht="12.75" customHeight="1">
      <c r="A417" s="8"/>
      <c r="HT417" s="8"/>
      <c r="HU417" s="8"/>
      <c r="HV417" s="8"/>
      <c r="HW417" s="8"/>
      <c r="HX417" s="8"/>
      <c r="HY417" s="8"/>
      <c r="HZ417" s="8"/>
      <c r="IA417" s="8"/>
      <c r="IB417" s="8"/>
      <c r="IC417" s="8"/>
      <c r="ID417" s="8"/>
      <c r="IE417" s="8"/>
      <c r="IF417" s="8"/>
      <c r="IG417" s="8"/>
      <c r="IH417" s="8"/>
      <c r="II417" s="8"/>
      <c r="IJ417" s="8"/>
      <c r="IK417" s="8"/>
      <c r="IL417" s="8"/>
      <c r="IM417" s="8"/>
      <c r="IN417" s="8"/>
      <c r="IO417" s="8"/>
      <c r="IP417" s="8"/>
      <c r="IQ417" s="8"/>
      <c r="IR417" s="8"/>
      <c r="IS417" s="8"/>
      <c r="IT417" s="8"/>
      <c r="IU417" s="8"/>
      <c r="IV417" s="8"/>
    </row>
    <row r="418" ht="12.75" customHeight="1">
      <c r="A418" s="8"/>
      <c r="HT418" s="8"/>
      <c r="HU418" s="8"/>
      <c r="HV418" s="8"/>
      <c r="HW418" s="8"/>
      <c r="HX418" s="8"/>
      <c r="HY418" s="8"/>
      <c r="HZ418" s="8"/>
      <c r="IA418" s="8"/>
      <c r="IB418" s="8"/>
      <c r="IC418" s="8"/>
      <c r="ID418" s="8"/>
      <c r="IE418" s="8"/>
      <c r="IF418" s="8"/>
      <c r="IG418" s="8"/>
      <c r="IH418" s="8"/>
      <c r="II418" s="8"/>
      <c r="IJ418" s="8"/>
      <c r="IK418" s="8"/>
      <c r="IL418" s="8"/>
      <c r="IM418" s="8"/>
      <c r="IN418" s="8"/>
      <c r="IO418" s="8"/>
      <c r="IP418" s="8"/>
      <c r="IQ418" s="8"/>
      <c r="IR418" s="8"/>
      <c r="IS418" s="8"/>
      <c r="IT418" s="8"/>
      <c r="IU418" s="8"/>
      <c r="IV418" s="8"/>
    </row>
    <row r="419" ht="12.75" customHeight="1">
      <c r="A419" s="8"/>
      <c r="HT419" s="8"/>
      <c r="HU419" s="8"/>
      <c r="HV419" s="8"/>
      <c r="HW419" s="8"/>
      <c r="HX419" s="8"/>
      <c r="HY419" s="8"/>
      <c r="HZ419" s="8"/>
      <c r="IA419" s="8"/>
      <c r="IB419" s="8"/>
      <c r="IC419" s="8"/>
      <c r="ID419" s="8"/>
      <c r="IE419" s="8"/>
      <c r="IF419" s="8"/>
      <c r="IG419" s="8"/>
      <c r="IH419" s="8"/>
      <c r="II419" s="8"/>
      <c r="IJ419" s="8"/>
      <c r="IK419" s="8"/>
      <c r="IL419" s="8"/>
      <c r="IM419" s="8"/>
      <c r="IN419" s="8"/>
      <c r="IO419" s="8"/>
      <c r="IP419" s="8"/>
      <c r="IQ419" s="8"/>
      <c r="IR419" s="8"/>
      <c r="IS419" s="8"/>
      <c r="IT419" s="8"/>
      <c r="IU419" s="8"/>
      <c r="IV419" s="8"/>
    </row>
    <row r="420" ht="12.75" customHeight="1">
      <c r="A420" s="8"/>
      <c r="HT420" s="8"/>
      <c r="HU420" s="8"/>
      <c r="HV420" s="8"/>
      <c r="HW420" s="8"/>
      <c r="HX420" s="8"/>
      <c r="HY420" s="8"/>
      <c r="HZ420" s="8"/>
      <c r="IA420" s="8"/>
      <c r="IB420" s="8"/>
      <c r="IC420" s="8"/>
      <c r="ID420" s="8"/>
      <c r="IE420" s="8"/>
      <c r="IF420" s="8"/>
      <c r="IG420" s="8"/>
      <c r="IH420" s="8"/>
      <c r="II420" s="8"/>
      <c r="IJ420" s="8"/>
      <c r="IK420" s="8"/>
      <c r="IL420" s="8"/>
      <c r="IM420" s="8"/>
      <c r="IN420" s="8"/>
      <c r="IO420" s="8"/>
      <c r="IP420" s="8"/>
      <c r="IQ420" s="8"/>
      <c r="IR420" s="8"/>
      <c r="IS420" s="8"/>
      <c r="IT420" s="8"/>
      <c r="IU420" s="8"/>
      <c r="IV420" s="8"/>
    </row>
    <row r="421" ht="12.75" customHeight="1">
      <c r="A421" s="8"/>
      <c r="HT421" s="8"/>
      <c r="HU421" s="8"/>
      <c r="HV421" s="8"/>
      <c r="HW421" s="8"/>
      <c r="HX421" s="8"/>
      <c r="HY421" s="8"/>
      <c r="HZ421" s="8"/>
      <c r="IA421" s="8"/>
      <c r="IB421" s="8"/>
      <c r="IC421" s="8"/>
      <c r="ID421" s="8"/>
      <c r="IE421" s="8"/>
      <c r="IF421" s="8"/>
      <c r="IG421" s="8"/>
      <c r="IH421" s="8"/>
      <c r="II421" s="8"/>
      <c r="IJ421" s="8"/>
      <c r="IK421" s="8"/>
      <c r="IL421" s="8"/>
      <c r="IM421" s="8"/>
      <c r="IN421" s="8"/>
      <c r="IO421" s="8"/>
      <c r="IP421" s="8"/>
      <c r="IQ421" s="8"/>
      <c r="IR421" s="8"/>
      <c r="IS421" s="8"/>
      <c r="IT421" s="8"/>
      <c r="IU421" s="8"/>
      <c r="IV421" s="8"/>
    </row>
    <row r="422" ht="12.75" customHeight="1">
      <c r="A422" s="8"/>
      <c r="HT422" s="8"/>
      <c r="HU422" s="8"/>
      <c r="HV422" s="8"/>
      <c r="HW422" s="8"/>
      <c r="HX422" s="8"/>
      <c r="HY422" s="8"/>
      <c r="HZ422" s="8"/>
      <c r="IA422" s="8"/>
      <c r="IB422" s="8"/>
      <c r="IC422" s="8"/>
      <c r="ID422" s="8"/>
      <c r="IE422" s="8"/>
      <c r="IF422" s="8"/>
      <c r="IG422" s="8"/>
      <c r="IH422" s="8"/>
      <c r="II422" s="8"/>
      <c r="IJ422" s="8"/>
      <c r="IK422" s="8"/>
      <c r="IL422" s="8"/>
      <c r="IM422" s="8"/>
      <c r="IN422" s="8"/>
      <c r="IO422" s="8"/>
      <c r="IP422" s="8"/>
      <c r="IQ422" s="8"/>
      <c r="IR422" s="8"/>
      <c r="IS422" s="8"/>
      <c r="IT422" s="8"/>
      <c r="IU422" s="8"/>
      <c r="IV422" s="8"/>
    </row>
    <row r="423" ht="12.75" customHeight="1">
      <c r="A423" s="8"/>
      <c r="HT423" s="8"/>
      <c r="HU423" s="8"/>
      <c r="HV423" s="8"/>
      <c r="HW423" s="8"/>
      <c r="HX423" s="8"/>
      <c r="HY423" s="8"/>
      <c r="HZ423" s="8"/>
      <c r="IA423" s="8"/>
      <c r="IB423" s="8"/>
      <c r="IC423" s="8"/>
      <c r="ID423" s="8"/>
      <c r="IE423" s="8"/>
      <c r="IF423" s="8"/>
      <c r="IG423" s="8"/>
      <c r="IH423" s="8"/>
      <c r="II423" s="8"/>
      <c r="IJ423" s="8"/>
      <c r="IK423" s="8"/>
      <c r="IL423" s="8"/>
      <c r="IM423" s="8"/>
      <c r="IN423" s="8"/>
      <c r="IO423" s="8"/>
      <c r="IP423" s="8"/>
      <c r="IQ423" s="8"/>
      <c r="IR423" s="8"/>
      <c r="IS423" s="8"/>
      <c r="IT423" s="8"/>
      <c r="IU423" s="8"/>
      <c r="IV423" s="8"/>
    </row>
    <row r="424" ht="12.75" customHeight="1">
      <c r="A424" s="8"/>
      <c r="HT424" s="8"/>
      <c r="HU424" s="8"/>
      <c r="HV424" s="8"/>
      <c r="HW424" s="8"/>
      <c r="HX424" s="8"/>
      <c r="HY424" s="8"/>
      <c r="HZ424" s="8"/>
      <c r="IA424" s="8"/>
      <c r="IB424" s="8"/>
      <c r="IC424" s="8"/>
      <c r="ID424" s="8"/>
      <c r="IE424" s="8"/>
      <c r="IF424" s="8"/>
      <c r="IG424" s="8"/>
      <c r="IH424" s="8"/>
      <c r="II424" s="8"/>
      <c r="IJ424" s="8"/>
      <c r="IK424" s="8"/>
      <c r="IL424" s="8"/>
      <c r="IM424" s="8"/>
      <c r="IN424" s="8"/>
      <c r="IO424" s="8"/>
      <c r="IP424" s="8"/>
      <c r="IQ424" s="8"/>
      <c r="IR424" s="8"/>
      <c r="IS424" s="8"/>
      <c r="IT424" s="8"/>
      <c r="IU424" s="8"/>
      <c r="IV424" s="8"/>
    </row>
    <row r="425" ht="12.75" customHeight="1">
      <c r="A425" s="8"/>
      <c r="HT425" s="8"/>
      <c r="HU425" s="8"/>
      <c r="HV425" s="8"/>
      <c r="HW425" s="8"/>
      <c r="HX425" s="8"/>
      <c r="HY425" s="8"/>
      <c r="HZ425" s="8"/>
      <c r="IA425" s="8"/>
      <c r="IB425" s="8"/>
      <c r="IC425" s="8"/>
      <c r="ID425" s="8"/>
      <c r="IE425" s="8"/>
      <c r="IF425" s="8"/>
      <c r="IG425" s="8"/>
      <c r="IH425" s="8"/>
      <c r="II425" s="8"/>
      <c r="IJ425" s="8"/>
      <c r="IK425" s="8"/>
      <c r="IL425" s="8"/>
      <c r="IM425" s="8"/>
      <c r="IN425" s="8"/>
      <c r="IO425" s="8"/>
      <c r="IP425" s="8"/>
      <c r="IQ425" s="8"/>
      <c r="IR425" s="8"/>
      <c r="IS425" s="8"/>
      <c r="IT425" s="8"/>
      <c r="IU425" s="8"/>
      <c r="IV425" s="8"/>
    </row>
    <row r="426" ht="12.75" customHeight="1">
      <c r="A426" s="8"/>
      <c r="HT426" s="8"/>
      <c r="HU426" s="8"/>
      <c r="HV426" s="8"/>
      <c r="HW426" s="8"/>
      <c r="HX426" s="8"/>
      <c r="HY426" s="8"/>
      <c r="HZ426" s="8"/>
      <c r="IA426" s="8"/>
      <c r="IB426" s="8"/>
      <c r="IC426" s="8"/>
      <c r="ID426" s="8"/>
      <c r="IE426" s="8"/>
      <c r="IF426" s="8"/>
      <c r="IG426" s="8"/>
      <c r="IH426" s="8"/>
      <c r="II426" s="8"/>
      <c r="IJ426" s="8"/>
      <c r="IK426" s="8"/>
      <c r="IL426" s="8"/>
      <c r="IM426" s="8"/>
      <c r="IN426" s="8"/>
      <c r="IO426" s="8"/>
      <c r="IP426" s="8"/>
      <c r="IQ426" s="8"/>
      <c r="IR426" s="8"/>
      <c r="IS426" s="8"/>
      <c r="IT426" s="8"/>
      <c r="IU426" s="8"/>
      <c r="IV426" s="8"/>
    </row>
    <row r="427" ht="12.75" customHeight="1">
      <c r="A427" s="8"/>
      <c r="HT427" s="8"/>
      <c r="HU427" s="8"/>
      <c r="HV427" s="8"/>
      <c r="HW427" s="8"/>
      <c r="HX427" s="8"/>
      <c r="HY427" s="8"/>
      <c r="HZ427" s="8"/>
      <c r="IA427" s="8"/>
      <c r="IB427" s="8"/>
      <c r="IC427" s="8"/>
      <c r="ID427" s="8"/>
      <c r="IE427" s="8"/>
      <c r="IF427" s="8"/>
      <c r="IG427" s="8"/>
      <c r="IH427" s="8"/>
      <c r="II427" s="8"/>
      <c r="IJ427" s="8"/>
      <c r="IK427" s="8"/>
      <c r="IL427" s="8"/>
      <c r="IM427" s="8"/>
      <c r="IN427" s="8"/>
      <c r="IO427" s="8"/>
      <c r="IP427" s="8"/>
      <c r="IQ427" s="8"/>
      <c r="IR427" s="8"/>
      <c r="IS427" s="8"/>
      <c r="IT427" s="8"/>
      <c r="IU427" s="8"/>
      <c r="IV427" s="8"/>
    </row>
    <row r="428" ht="12.75" customHeight="1">
      <c r="A428" s="8"/>
      <c r="HT428" s="8"/>
      <c r="HU428" s="8"/>
      <c r="HV428" s="8"/>
      <c r="HW428" s="8"/>
      <c r="HX428" s="8"/>
      <c r="HY428" s="8"/>
      <c r="HZ428" s="8"/>
      <c r="IA428" s="8"/>
      <c r="IB428" s="8"/>
      <c r="IC428" s="8"/>
      <c r="ID428" s="8"/>
      <c r="IE428" s="8"/>
      <c r="IF428" s="8"/>
      <c r="IG428" s="8"/>
      <c r="IH428" s="8"/>
      <c r="II428" s="8"/>
      <c r="IJ428" s="8"/>
      <c r="IK428" s="8"/>
      <c r="IL428" s="8"/>
      <c r="IM428" s="8"/>
      <c r="IN428" s="8"/>
      <c r="IO428" s="8"/>
      <c r="IP428" s="8"/>
      <c r="IQ428" s="8"/>
      <c r="IR428" s="8"/>
      <c r="IS428" s="8"/>
      <c r="IT428" s="8"/>
      <c r="IU428" s="8"/>
      <c r="IV428" s="8"/>
    </row>
    <row r="429" ht="12.75" customHeight="1">
      <c r="A429" s="8"/>
      <c r="HT429" s="8"/>
      <c r="HU429" s="8"/>
      <c r="HV429" s="8"/>
      <c r="HW429" s="8"/>
      <c r="HX429" s="8"/>
      <c r="HY429" s="8"/>
      <c r="HZ429" s="8"/>
      <c r="IA429" s="8"/>
      <c r="IB429" s="8"/>
      <c r="IC429" s="8"/>
      <c r="ID429" s="8"/>
      <c r="IE429" s="8"/>
      <c r="IF429" s="8"/>
      <c r="IG429" s="8"/>
      <c r="IH429" s="8"/>
      <c r="II429" s="8"/>
      <c r="IJ429" s="8"/>
      <c r="IK429" s="8"/>
      <c r="IL429" s="8"/>
      <c r="IM429" s="8"/>
      <c r="IN429" s="8"/>
      <c r="IO429" s="8"/>
      <c r="IP429" s="8"/>
      <c r="IQ429" s="8"/>
      <c r="IR429" s="8"/>
      <c r="IS429" s="8"/>
      <c r="IT429" s="8"/>
      <c r="IU429" s="8"/>
      <c r="IV429" s="8"/>
    </row>
    <row r="430" ht="12.75" customHeight="1">
      <c r="A430" s="8"/>
      <c r="HT430" s="8"/>
      <c r="HU430" s="8"/>
      <c r="HV430" s="8"/>
      <c r="HW430" s="8"/>
      <c r="HX430" s="8"/>
      <c r="HY430" s="8"/>
      <c r="HZ430" s="8"/>
      <c r="IA430" s="8"/>
      <c r="IB430" s="8"/>
      <c r="IC430" s="8"/>
      <c r="ID430" s="8"/>
      <c r="IE430" s="8"/>
      <c r="IF430" s="8"/>
      <c r="IG430" s="8"/>
      <c r="IH430" s="8"/>
      <c r="II430" s="8"/>
      <c r="IJ430" s="8"/>
      <c r="IK430" s="8"/>
      <c r="IL430" s="8"/>
      <c r="IM430" s="8"/>
      <c r="IN430" s="8"/>
      <c r="IO430" s="8"/>
      <c r="IP430" s="8"/>
      <c r="IQ430" s="8"/>
      <c r="IR430" s="8"/>
      <c r="IS430" s="8"/>
      <c r="IT430" s="8"/>
      <c r="IU430" s="8"/>
      <c r="IV430" s="8"/>
    </row>
    <row r="431" ht="12.75" customHeight="1">
      <c r="A431" s="8"/>
      <c r="HT431" s="8"/>
      <c r="HU431" s="8"/>
      <c r="HV431" s="8"/>
      <c r="HW431" s="8"/>
      <c r="HX431" s="8"/>
      <c r="HY431" s="8"/>
      <c r="HZ431" s="8"/>
      <c r="IA431" s="8"/>
      <c r="IB431" s="8"/>
      <c r="IC431" s="8"/>
      <c r="ID431" s="8"/>
      <c r="IE431" s="8"/>
      <c r="IF431" s="8"/>
      <c r="IG431" s="8"/>
      <c r="IH431" s="8"/>
      <c r="II431" s="8"/>
      <c r="IJ431" s="8"/>
      <c r="IK431" s="8"/>
      <c r="IL431" s="8"/>
      <c r="IM431" s="8"/>
      <c r="IN431" s="8"/>
      <c r="IO431" s="8"/>
      <c r="IP431" s="8"/>
      <c r="IQ431" s="8"/>
      <c r="IR431" s="8"/>
      <c r="IS431" s="8"/>
      <c r="IT431" s="8"/>
      <c r="IU431" s="8"/>
      <c r="IV431" s="8"/>
    </row>
    <row r="432" ht="12.75" customHeight="1">
      <c r="A432" s="8"/>
      <c r="HT432" s="8"/>
      <c r="HU432" s="8"/>
      <c r="HV432" s="8"/>
      <c r="HW432" s="8"/>
      <c r="HX432" s="8"/>
      <c r="HY432" s="8"/>
      <c r="HZ432" s="8"/>
      <c r="IA432" s="8"/>
      <c r="IB432" s="8"/>
      <c r="IC432" s="8"/>
      <c r="ID432" s="8"/>
      <c r="IE432" s="8"/>
      <c r="IF432" s="8"/>
      <c r="IG432" s="8"/>
      <c r="IH432" s="8"/>
      <c r="II432" s="8"/>
      <c r="IJ432" s="8"/>
      <c r="IK432" s="8"/>
      <c r="IL432" s="8"/>
      <c r="IM432" s="8"/>
      <c r="IN432" s="8"/>
      <c r="IO432" s="8"/>
      <c r="IP432" s="8"/>
      <c r="IQ432" s="8"/>
      <c r="IR432" s="8"/>
      <c r="IS432" s="8"/>
      <c r="IT432" s="8"/>
      <c r="IU432" s="8"/>
      <c r="IV432" s="8"/>
    </row>
    <row r="433" ht="12.75" customHeight="1">
      <c r="A433" s="8"/>
      <c r="HT433" s="8"/>
      <c r="HU433" s="8"/>
      <c r="HV433" s="8"/>
      <c r="HW433" s="8"/>
      <c r="HX433" s="8"/>
      <c r="HY433" s="8"/>
      <c r="HZ433" s="8"/>
      <c r="IA433" s="8"/>
      <c r="IB433" s="8"/>
      <c r="IC433" s="8"/>
      <c r="ID433" s="8"/>
      <c r="IE433" s="8"/>
      <c r="IF433" s="8"/>
      <c r="IG433" s="8"/>
      <c r="IH433" s="8"/>
      <c r="II433" s="8"/>
      <c r="IJ433" s="8"/>
      <c r="IK433" s="8"/>
      <c r="IL433" s="8"/>
      <c r="IM433" s="8"/>
      <c r="IN433" s="8"/>
      <c r="IO433" s="8"/>
      <c r="IP433" s="8"/>
      <c r="IQ433" s="8"/>
      <c r="IR433" s="8"/>
      <c r="IS433" s="8"/>
      <c r="IT433" s="8"/>
      <c r="IU433" s="8"/>
      <c r="IV433" s="8"/>
    </row>
    <row r="434" ht="12.75" customHeight="1">
      <c r="A434" s="8"/>
      <c r="HT434" s="8"/>
      <c r="HU434" s="8"/>
      <c r="HV434" s="8"/>
      <c r="HW434" s="8"/>
      <c r="HX434" s="8"/>
      <c r="HY434" s="8"/>
      <c r="HZ434" s="8"/>
      <c r="IA434" s="8"/>
      <c r="IB434" s="8"/>
      <c r="IC434" s="8"/>
      <c r="ID434" s="8"/>
      <c r="IE434" s="8"/>
      <c r="IF434" s="8"/>
      <c r="IG434" s="8"/>
      <c r="IH434" s="8"/>
      <c r="II434" s="8"/>
      <c r="IJ434" s="8"/>
      <c r="IK434" s="8"/>
      <c r="IL434" s="8"/>
      <c r="IM434" s="8"/>
      <c r="IN434" s="8"/>
      <c r="IO434" s="8"/>
      <c r="IP434" s="8"/>
      <c r="IQ434" s="8"/>
      <c r="IR434" s="8"/>
      <c r="IS434" s="8"/>
      <c r="IT434" s="8"/>
      <c r="IU434" s="8"/>
      <c r="IV434" s="8"/>
    </row>
    <row r="435" ht="12.75" customHeight="1">
      <c r="A435" s="8"/>
      <c r="HT435" s="8"/>
      <c r="HU435" s="8"/>
      <c r="HV435" s="8"/>
      <c r="HW435" s="8"/>
      <c r="HX435" s="8"/>
      <c r="HY435" s="8"/>
      <c r="HZ435" s="8"/>
      <c r="IA435" s="8"/>
      <c r="IB435" s="8"/>
      <c r="IC435" s="8"/>
      <c r="ID435" s="8"/>
      <c r="IE435" s="8"/>
      <c r="IF435" s="8"/>
      <c r="IG435" s="8"/>
      <c r="IH435" s="8"/>
      <c r="II435" s="8"/>
      <c r="IJ435" s="8"/>
      <c r="IK435" s="8"/>
      <c r="IL435" s="8"/>
      <c r="IM435" s="8"/>
      <c r="IN435" s="8"/>
      <c r="IO435" s="8"/>
      <c r="IP435" s="8"/>
      <c r="IQ435" s="8"/>
      <c r="IR435" s="8"/>
      <c r="IS435" s="8"/>
      <c r="IT435" s="8"/>
      <c r="IU435" s="8"/>
      <c r="IV435" s="8"/>
    </row>
    <row r="436" ht="12.75" customHeight="1">
      <c r="A436" s="8"/>
      <c r="HT436" s="8"/>
      <c r="HU436" s="8"/>
      <c r="HV436" s="8"/>
      <c r="HW436" s="8"/>
      <c r="HX436" s="8"/>
      <c r="HY436" s="8"/>
      <c r="HZ436" s="8"/>
      <c r="IA436" s="8"/>
      <c r="IB436" s="8"/>
      <c r="IC436" s="8"/>
      <c r="ID436" s="8"/>
      <c r="IE436" s="8"/>
      <c r="IF436" s="8"/>
      <c r="IG436" s="8"/>
      <c r="IH436" s="8"/>
      <c r="II436" s="8"/>
      <c r="IJ436" s="8"/>
      <c r="IK436" s="8"/>
      <c r="IL436" s="8"/>
      <c r="IM436" s="8"/>
      <c r="IN436" s="8"/>
      <c r="IO436" s="8"/>
      <c r="IP436" s="8"/>
      <c r="IQ436" s="8"/>
      <c r="IR436" s="8"/>
      <c r="IS436" s="8"/>
      <c r="IT436" s="8"/>
      <c r="IU436" s="8"/>
      <c r="IV436" s="8"/>
    </row>
    <row r="437" ht="12.75" customHeight="1">
      <c r="A437" s="8"/>
      <c r="HT437" s="8"/>
      <c r="HU437" s="8"/>
      <c r="HV437" s="8"/>
      <c r="HW437" s="8"/>
      <c r="HX437" s="8"/>
      <c r="HY437" s="8"/>
      <c r="HZ437" s="8"/>
      <c r="IA437" s="8"/>
      <c r="IB437" s="8"/>
      <c r="IC437" s="8"/>
      <c r="ID437" s="8"/>
      <c r="IE437" s="8"/>
      <c r="IF437" s="8"/>
      <c r="IG437" s="8"/>
      <c r="IH437" s="8"/>
      <c r="II437" s="8"/>
      <c r="IJ437" s="8"/>
      <c r="IK437" s="8"/>
      <c r="IL437" s="8"/>
      <c r="IM437" s="8"/>
      <c r="IN437" s="8"/>
      <c r="IO437" s="8"/>
      <c r="IP437" s="8"/>
      <c r="IQ437" s="8"/>
      <c r="IR437" s="8"/>
      <c r="IS437" s="8"/>
      <c r="IT437" s="8"/>
      <c r="IU437" s="8"/>
      <c r="IV437" s="8"/>
    </row>
    <row r="438" ht="12.75" customHeight="1">
      <c r="A438" s="8"/>
      <c r="HT438" s="8"/>
      <c r="HU438" s="8"/>
      <c r="HV438" s="8"/>
      <c r="HW438" s="8"/>
      <c r="HX438" s="8"/>
      <c r="HY438" s="8"/>
      <c r="HZ438" s="8"/>
      <c r="IA438" s="8"/>
      <c r="IB438" s="8"/>
      <c r="IC438" s="8"/>
      <c r="ID438" s="8"/>
      <c r="IE438" s="8"/>
      <c r="IF438" s="8"/>
      <c r="IG438" s="8"/>
      <c r="IH438" s="8"/>
      <c r="II438" s="8"/>
      <c r="IJ438" s="8"/>
      <c r="IK438" s="8"/>
      <c r="IL438" s="8"/>
      <c r="IM438" s="8"/>
      <c r="IN438" s="8"/>
      <c r="IO438" s="8"/>
      <c r="IP438" s="8"/>
      <c r="IQ438" s="8"/>
      <c r="IR438" s="8"/>
      <c r="IS438" s="8"/>
      <c r="IT438" s="8"/>
      <c r="IU438" s="8"/>
      <c r="IV438" s="8"/>
    </row>
    <row r="439" ht="12.75" customHeight="1">
      <c r="A439" s="8"/>
      <c r="HT439" s="8"/>
      <c r="HU439" s="8"/>
      <c r="HV439" s="8"/>
      <c r="HW439" s="8"/>
      <c r="HX439" s="8"/>
      <c r="HY439" s="8"/>
      <c r="HZ439" s="8"/>
      <c r="IA439" s="8"/>
      <c r="IB439" s="8"/>
      <c r="IC439" s="8"/>
      <c r="ID439" s="8"/>
      <c r="IE439" s="8"/>
      <c r="IF439" s="8"/>
      <c r="IG439" s="8"/>
      <c r="IH439" s="8"/>
      <c r="II439" s="8"/>
      <c r="IJ439" s="8"/>
      <c r="IK439" s="8"/>
      <c r="IL439" s="8"/>
      <c r="IM439" s="8"/>
      <c r="IN439" s="8"/>
      <c r="IO439" s="8"/>
      <c r="IP439" s="8"/>
      <c r="IQ439" s="8"/>
      <c r="IR439" s="8"/>
      <c r="IS439" s="8"/>
      <c r="IT439" s="8"/>
      <c r="IU439" s="8"/>
      <c r="IV439" s="8"/>
    </row>
    <row r="440" ht="12.75" customHeight="1">
      <c r="A440" s="8"/>
      <c r="HT440" s="8"/>
      <c r="HU440" s="8"/>
      <c r="HV440" s="8"/>
      <c r="HW440" s="8"/>
      <c r="HX440" s="8"/>
      <c r="HY440" s="8"/>
      <c r="HZ440" s="8"/>
      <c r="IA440" s="8"/>
      <c r="IB440" s="8"/>
      <c r="IC440" s="8"/>
      <c r="ID440" s="8"/>
      <c r="IE440" s="8"/>
      <c r="IF440" s="8"/>
      <c r="IG440" s="8"/>
      <c r="IH440" s="8"/>
      <c r="II440" s="8"/>
      <c r="IJ440" s="8"/>
      <c r="IK440" s="8"/>
      <c r="IL440" s="8"/>
      <c r="IM440" s="8"/>
      <c r="IN440" s="8"/>
      <c r="IO440" s="8"/>
      <c r="IP440" s="8"/>
      <c r="IQ440" s="8"/>
      <c r="IR440" s="8"/>
      <c r="IS440" s="8"/>
      <c r="IT440" s="8"/>
      <c r="IU440" s="8"/>
      <c r="IV440" s="8"/>
    </row>
    <row r="441" ht="12.75" customHeight="1">
      <c r="A441" s="8"/>
      <c r="HT441" s="8"/>
      <c r="HU441" s="8"/>
      <c r="HV441" s="8"/>
      <c r="HW441" s="8"/>
      <c r="HX441" s="8"/>
      <c r="HY441" s="8"/>
      <c r="HZ441" s="8"/>
      <c r="IA441" s="8"/>
      <c r="IB441" s="8"/>
      <c r="IC441" s="8"/>
      <c r="ID441" s="8"/>
      <c r="IE441" s="8"/>
      <c r="IF441" s="8"/>
      <c r="IG441" s="8"/>
      <c r="IH441" s="8"/>
      <c r="II441" s="8"/>
      <c r="IJ441" s="8"/>
      <c r="IK441" s="8"/>
      <c r="IL441" s="8"/>
      <c r="IM441" s="8"/>
      <c r="IN441" s="8"/>
      <c r="IO441" s="8"/>
      <c r="IP441" s="8"/>
      <c r="IQ441" s="8"/>
      <c r="IR441" s="8"/>
      <c r="IS441" s="8"/>
      <c r="IT441" s="8"/>
      <c r="IU441" s="8"/>
      <c r="IV441" s="8"/>
    </row>
    <row r="442" ht="12.75" customHeight="1">
      <c r="A442" s="8"/>
      <c r="HT442" s="8"/>
      <c r="HU442" s="8"/>
      <c r="HV442" s="8"/>
      <c r="HW442" s="8"/>
      <c r="HX442" s="8"/>
      <c r="HY442" s="8"/>
      <c r="HZ442" s="8"/>
      <c r="IA442" s="8"/>
      <c r="IB442" s="8"/>
      <c r="IC442" s="8"/>
      <c r="ID442" s="8"/>
      <c r="IE442" s="8"/>
      <c r="IF442" s="8"/>
      <c r="IG442" s="8"/>
      <c r="IH442" s="8"/>
      <c r="II442" s="8"/>
      <c r="IJ442" s="8"/>
      <c r="IK442" s="8"/>
      <c r="IL442" s="8"/>
      <c r="IM442" s="8"/>
      <c r="IN442" s="8"/>
      <c r="IO442" s="8"/>
      <c r="IP442" s="8"/>
      <c r="IQ442" s="8"/>
      <c r="IR442" s="8"/>
      <c r="IS442" s="8"/>
      <c r="IT442" s="8"/>
      <c r="IU442" s="8"/>
      <c r="IV442" s="8"/>
    </row>
    <row r="443" ht="12.75" customHeight="1">
      <c r="A443" s="8"/>
      <c r="HT443" s="8"/>
      <c r="HU443" s="8"/>
      <c r="HV443" s="8"/>
      <c r="HW443" s="8"/>
      <c r="HX443" s="8"/>
      <c r="HY443" s="8"/>
      <c r="HZ443" s="8"/>
      <c r="IA443" s="8"/>
      <c r="IB443" s="8"/>
      <c r="IC443" s="8"/>
      <c r="ID443" s="8"/>
      <c r="IE443" s="8"/>
      <c r="IF443" s="8"/>
      <c r="IG443" s="8"/>
      <c r="IH443" s="8"/>
      <c r="II443" s="8"/>
      <c r="IJ443" s="8"/>
      <c r="IK443" s="8"/>
      <c r="IL443" s="8"/>
      <c r="IM443" s="8"/>
      <c r="IN443" s="8"/>
      <c r="IO443" s="8"/>
      <c r="IP443" s="8"/>
      <c r="IQ443" s="8"/>
      <c r="IR443" s="8"/>
      <c r="IS443" s="8"/>
      <c r="IT443" s="8"/>
      <c r="IU443" s="8"/>
      <c r="IV443" s="8"/>
    </row>
    <row r="444" ht="12.75" customHeight="1">
      <c r="A444" s="8"/>
      <c r="HT444" s="8"/>
      <c r="HU444" s="8"/>
      <c r="HV444" s="8"/>
      <c r="HW444" s="8"/>
      <c r="HX444" s="8"/>
      <c r="HY444" s="8"/>
      <c r="HZ444" s="8"/>
      <c r="IA444" s="8"/>
      <c r="IB444" s="8"/>
      <c r="IC444" s="8"/>
      <c r="ID444" s="8"/>
      <c r="IE444" s="8"/>
      <c r="IF444" s="8"/>
      <c r="IG444" s="8"/>
      <c r="IH444" s="8"/>
      <c r="II444" s="8"/>
      <c r="IJ444" s="8"/>
      <c r="IK444" s="8"/>
      <c r="IL444" s="8"/>
      <c r="IM444" s="8"/>
      <c r="IN444" s="8"/>
      <c r="IO444" s="8"/>
      <c r="IP444" s="8"/>
      <c r="IQ444" s="8"/>
      <c r="IR444" s="8"/>
      <c r="IS444" s="8"/>
      <c r="IT444" s="8"/>
      <c r="IU444" s="8"/>
      <c r="IV444" s="8"/>
    </row>
    <row r="445" ht="12.75" customHeight="1">
      <c r="A445" s="8"/>
      <c r="HT445" s="8"/>
      <c r="HU445" s="8"/>
      <c r="HV445" s="8"/>
      <c r="HW445" s="8"/>
      <c r="HX445" s="8"/>
      <c r="HY445" s="8"/>
      <c r="HZ445" s="8"/>
      <c r="IA445" s="8"/>
      <c r="IB445" s="8"/>
      <c r="IC445" s="8"/>
      <c r="ID445" s="8"/>
      <c r="IE445" s="8"/>
      <c r="IF445" s="8"/>
      <c r="IG445" s="8"/>
      <c r="IH445" s="8"/>
      <c r="II445" s="8"/>
      <c r="IJ445" s="8"/>
      <c r="IK445" s="8"/>
      <c r="IL445" s="8"/>
      <c r="IM445" s="8"/>
      <c r="IN445" s="8"/>
      <c r="IO445" s="8"/>
      <c r="IP445" s="8"/>
      <c r="IQ445" s="8"/>
      <c r="IR445" s="8"/>
      <c r="IS445" s="8"/>
      <c r="IT445" s="8"/>
      <c r="IU445" s="8"/>
      <c r="IV445" s="8"/>
    </row>
    <row r="446" ht="12.75" customHeight="1">
      <c r="A446" s="8"/>
      <c r="HT446" s="8"/>
      <c r="HU446" s="8"/>
      <c r="HV446" s="8"/>
      <c r="HW446" s="8"/>
      <c r="HX446" s="8"/>
      <c r="HY446" s="8"/>
      <c r="HZ446" s="8"/>
      <c r="IA446" s="8"/>
      <c r="IB446" s="8"/>
      <c r="IC446" s="8"/>
      <c r="ID446" s="8"/>
      <c r="IE446" s="8"/>
      <c r="IF446" s="8"/>
      <c r="IG446" s="8"/>
      <c r="IH446" s="8"/>
      <c r="II446" s="8"/>
      <c r="IJ446" s="8"/>
      <c r="IK446" s="8"/>
      <c r="IL446" s="8"/>
      <c r="IM446" s="8"/>
      <c r="IN446" s="8"/>
      <c r="IO446" s="8"/>
      <c r="IP446" s="8"/>
      <c r="IQ446" s="8"/>
      <c r="IR446" s="8"/>
      <c r="IS446" s="8"/>
      <c r="IT446" s="8"/>
      <c r="IU446" s="8"/>
      <c r="IV446" s="8"/>
    </row>
    <row r="447" ht="12.75" customHeight="1">
      <c r="A447" s="8"/>
      <c r="HT447" s="8"/>
      <c r="HU447" s="8"/>
      <c r="HV447" s="8"/>
      <c r="HW447" s="8"/>
      <c r="HX447" s="8"/>
      <c r="HY447" s="8"/>
      <c r="HZ447" s="8"/>
      <c r="IA447" s="8"/>
      <c r="IB447" s="8"/>
      <c r="IC447" s="8"/>
      <c r="ID447" s="8"/>
      <c r="IE447" s="8"/>
      <c r="IF447" s="8"/>
      <c r="IG447" s="8"/>
      <c r="IH447" s="8"/>
      <c r="II447" s="8"/>
      <c r="IJ447" s="8"/>
      <c r="IK447" s="8"/>
      <c r="IL447" s="8"/>
      <c r="IM447" s="8"/>
      <c r="IN447" s="8"/>
      <c r="IO447" s="8"/>
      <c r="IP447" s="8"/>
      <c r="IQ447" s="8"/>
      <c r="IR447" s="8"/>
      <c r="IS447" s="8"/>
      <c r="IT447" s="8"/>
      <c r="IU447" s="8"/>
      <c r="IV447" s="8"/>
    </row>
    <row r="448" ht="12.75" customHeight="1">
      <c r="A448" s="8"/>
      <c r="HT448" s="8"/>
      <c r="HU448" s="8"/>
      <c r="HV448" s="8"/>
      <c r="HW448" s="8"/>
      <c r="HX448" s="8"/>
      <c r="HY448" s="8"/>
      <c r="HZ448" s="8"/>
      <c r="IA448" s="8"/>
      <c r="IB448" s="8"/>
      <c r="IC448" s="8"/>
      <c r="ID448" s="8"/>
      <c r="IE448" s="8"/>
      <c r="IF448" s="8"/>
      <c r="IG448" s="8"/>
      <c r="IH448" s="8"/>
      <c r="II448" s="8"/>
      <c r="IJ448" s="8"/>
      <c r="IK448" s="8"/>
      <c r="IL448" s="8"/>
      <c r="IM448" s="8"/>
      <c r="IN448" s="8"/>
      <c r="IO448" s="8"/>
      <c r="IP448" s="8"/>
      <c r="IQ448" s="8"/>
      <c r="IR448" s="8"/>
      <c r="IS448" s="8"/>
      <c r="IT448" s="8"/>
      <c r="IU448" s="8"/>
      <c r="IV448" s="8"/>
    </row>
    <row r="449" ht="12.75" customHeight="1">
      <c r="A449" s="8"/>
      <c r="HT449" s="8"/>
      <c r="HU449" s="8"/>
      <c r="HV449" s="8"/>
      <c r="HW449" s="8"/>
      <c r="HX449" s="8"/>
      <c r="HY449" s="8"/>
      <c r="HZ449" s="8"/>
      <c r="IA449" s="8"/>
      <c r="IB449" s="8"/>
      <c r="IC449" s="8"/>
      <c r="ID449" s="8"/>
      <c r="IE449" s="8"/>
      <c r="IF449" s="8"/>
      <c r="IG449" s="8"/>
      <c r="IH449" s="8"/>
      <c r="II449" s="8"/>
      <c r="IJ449" s="8"/>
      <c r="IK449" s="8"/>
      <c r="IL449" s="8"/>
      <c r="IM449" s="8"/>
      <c r="IN449" s="8"/>
      <c r="IO449" s="8"/>
      <c r="IP449" s="8"/>
      <c r="IQ449" s="8"/>
      <c r="IR449" s="8"/>
      <c r="IS449" s="8"/>
      <c r="IT449" s="8"/>
      <c r="IU449" s="8"/>
      <c r="IV449" s="8"/>
    </row>
    <row r="450" ht="12.75" customHeight="1">
      <c r="A450" s="8"/>
      <c r="HT450" s="8"/>
      <c r="HU450" s="8"/>
      <c r="HV450" s="8"/>
      <c r="HW450" s="8"/>
      <c r="HX450" s="8"/>
      <c r="HY450" s="8"/>
      <c r="HZ450" s="8"/>
      <c r="IA450" s="8"/>
      <c r="IB450" s="8"/>
      <c r="IC450" s="8"/>
      <c r="ID450" s="8"/>
      <c r="IE450" s="8"/>
      <c r="IF450" s="8"/>
      <c r="IG450" s="8"/>
      <c r="IH450" s="8"/>
      <c r="II450" s="8"/>
      <c r="IJ450" s="8"/>
      <c r="IK450" s="8"/>
      <c r="IL450" s="8"/>
      <c r="IM450" s="8"/>
      <c r="IN450" s="8"/>
      <c r="IO450" s="8"/>
      <c r="IP450" s="8"/>
      <c r="IQ450" s="8"/>
      <c r="IR450" s="8"/>
      <c r="IS450" s="8"/>
      <c r="IT450" s="8"/>
      <c r="IU450" s="8"/>
      <c r="IV450" s="8"/>
    </row>
    <row r="451" ht="12.75" customHeight="1">
      <c r="A451" s="8"/>
      <c r="HT451" s="8"/>
      <c r="HU451" s="8"/>
      <c r="HV451" s="8"/>
      <c r="HW451" s="8"/>
      <c r="HX451" s="8"/>
      <c r="HY451" s="8"/>
      <c r="HZ451" s="8"/>
      <c r="IA451" s="8"/>
      <c r="IB451" s="8"/>
      <c r="IC451" s="8"/>
      <c r="ID451" s="8"/>
      <c r="IE451" s="8"/>
      <c r="IF451" s="8"/>
      <c r="IG451" s="8"/>
      <c r="IH451" s="8"/>
      <c r="II451" s="8"/>
      <c r="IJ451" s="8"/>
      <c r="IK451" s="8"/>
      <c r="IL451" s="8"/>
      <c r="IM451" s="8"/>
      <c r="IN451" s="8"/>
      <c r="IO451" s="8"/>
      <c r="IP451" s="8"/>
      <c r="IQ451" s="8"/>
      <c r="IR451" s="8"/>
      <c r="IS451" s="8"/>
      <c r="IT451" s="8"/>
      <c r="IU451" s="8"/>
      <c r="IV451" s="8"/>
    </row>
    <row r="452" ht="12.75" customHeight="1">
      <c r="A452" s="8"/>
      <c r="HT452" s="8"/>
      <c r="HU452" s="8"/>
      <c r="HV452" s="8"/>
      <c r="HW452" s="8"/>
      <c r="HX452" s="8"/>
      <c r="HY452" s="8"/>
      <c r="HZ452" s="8"/>
      <c r="IA452" s="8"/>
      <c r="IB452" s="8"/>
      <c r="IC452" s="8"/>
      <c r="ID452" s="8"/>
      <c r="IE452" s="8"/>
      <c r="IF452" s="8"/>
      <c r="IG452" s="8"/>
      <c r="IH452" s="8"/>
      <c r="II452" s="8"/>
      <c r="IJ452" s="8"/>
      <c r="IK452" s="8"/>
      <c r="IL452" s="8"/>
      <c r="IM452" s="8"/>
      <c r="IN452" s="8"/>
      <c r="IO452" s="8"/>
      <c r="IP452" s="8"/>
      <c r="IQ452" s="8"/>
      <c r="IR452" s="8"/>
      <c r="IS452" s="8"/>
      <c r="IT452" s="8"/>
      <c r="IU452" s="8"/>
      <c r="IV452" s="8"/>
    </row>
    <row r="453" ht="12.75" customHeight="1">
      <c r="A453" s="8"/>
      <c r="HT453" s="8"/>
      <c r="HU453" s="8"/>
      <c r="HV453" s="8"/>
      <c r="HW453" s="8"/>
      <c r="HX453" s="8"/>
      <c r="HY453" s="8"/>
      <c r="HZ453" s="8"/>
      <c r="IA453" s="8"/>
      <c r="IB453" s="8"/>
      <c r="IC453" s="8"/>
      <c r="ID453" s="8"/>
      <c r="IE453" s="8"/>
      <c r="IF453" s="8"/>
      <c r="IG453" s="8"/>
      <c r="IH453" s="8"/>
      <c r="II453" s="8"/>
      <c r="IJ453" s="8"/>
      <c r="IK453" s="8"/>
      <c r="IL453" s="8"/>
      <c r="IM453" s="8"/>
      <c r="IN453" s="8"/>
      <c r="IO453" s="8"/>
      <c r="IP453" s="8"/>
      <c r="IQ453" s="8"/>
      <c r="IR453" s="8"/>
      <c r="IS453" s="8"/>
      <c r="IT453" s="8"/>
      <c r="IU453" s="8"/>
      <c r="IV453" s="8"/>
    </row>
    <row r="454" ht="12.75" customHeight="1">
      <c r="A454" s="8"/>
      <c r="HT454" s="8"/>
      <c r="HU454" s="8"/>
      <c r="HV454" s="8"/>
      <c r="HW454" s="8"/>
      <c r="HX454" s="8"/>
      <c r="HY454" s="8"/>
      <c r="HZ454" s="8"/>
      <c r="IA454" s="8"/>
      <c r="IB454" s="8"/>
      <c r="IC454" s="8"/>
      <c r="ID454" s="8"/>
      <c r="IE454" s="8"/>
      <c r="IF454" s="8"/>
      <c r="IG454" s="8"/>
      <c r="IH454" s="8"/>
      <c r="II454" s="8"/>
      <c r="IJ454" s="8"/>
      <c r="IK454" s="8"/>
      <c r="IL454" s="8"/>
      <c r="IM454" s="8"/>
      <c r="IN454" s="8"/>
      <c r="IO454" s="8"/>
      <c r="IP454" s="8"/>
      <c r="IQ454" s="8"/>
      <c r="IR454" s="8"/>
      <c r="IS454" s="8"/>
      <c r="IT454" s="8"/>
      <c r="IU454" s="8"/>
      <c r="IV454" s="8"/>
    </row>
    <row r="455" ht="12.75" customHeight="1">
      <c r="A455" s="8"/>
      <c r="HT455" s="8"/>
      <c r="HU455" s="8"/>
      <c r="HV455" s="8"/>
      <c r="HW455" s="8"/>
      <c r="HX455" s="8"/>
      <c r="HY455" s="8"/>
      <c r="HZ455" s="8"/>
      <c r="IA455" s="8"/>
      <c r="IB455" s="8"/>
      <c r="IC455" s="8"/>
      <c r="ID455" s="8"/>
      <c r="IE455" s="8"/>
      <c r="IF455" s="8"/>
      <c r="IG455" s="8"/>
      <c r="IH455" s="8"/>
      <c r="II455" s="8"/>
      <c r="IJ455" s="8"/>
      <c r="IK455" s="8"/>
      <c r="IL455" s="8"/>
      <c r="IM455" s="8"/>
      <c r="IN455" s="8"/>
      <c r="IO455" s="8"/>
      <c r="IP455" s="8"/>
      <c r="IQ455" s="8"/>
      <c r="IR455" s="8"/>
      <c r="IS455" s="8"/>
      <c r="IT455" s="8"/>
      <c r="IU455" s="8"/>
      <c r="IV455" s="8"/>
    </row>
    <row r="456" ht="12.75" customHeight="1">
      <c r="A456" s="8"/>
      <c r="HT456" s="8"/>
      <c r="HU456" s="8"/>
      <c r="HV456" s="8"/>
      <c r="HW456" s="8"/>
      <c r="HX456" s="8"/>
      <c r="HY456" s="8"/>
      <c r="HZ456" s="8"/>
      <c r="IA456" s="8"/>
      <c r="IB456" s="8"/>
      <c r="IC456" s="8"/>
      <c r="ID456" s="8"/>
      <c r="IE456" s="8"/>
      <c r="IF456" s="8"/>
      <c r="IG456" s="8"/>
      <c r="IH456" s="8"/>
      <c r="II456" s="8"/>
      <c r="IJ456" s="8"/>
      <c r="IK456" s="8"/>
      <c r="IL456" s="8"/>
      <c r="IM456" s="8"/>
      <c r="IN456" s="8"/>
      <c r="IO456" s="8"/>
      <c r="IP456" s="8"/>
      <c r="IQ456" s="8"/>
      <c r="IR456" s="8"/>
      <c r="IS456" s="8"/>
      <c r="IT456" s="8"/>
      <c r="IU456" s="8"/>
      <c r="IV456" s="8"/>
    </row>
    <row r="457" ht="12.75" customHeight="1">
      <c r="A457" s="8"/>
      <c r="HT457" s="8"/>
      <c r="HU457" s="8"/>
      <c r="HV457" s="8"/>
      <c r="HW457" s="8"/>
      <c r="HX457" s="8"/>
      <c r="HY457" s="8"/>
      <c r="HZ457" s="8"/>
      <c r="IA457" s="8"/>
      <c r="IB457" s="8"/>
      <c r="IC457" s="8"/>
      <c r="ID457" s="8"/>
      <c r="IE457" s="8"/>
      <c r="IF457" s="8"/>
      <c r="IG457" s="8"/>
      <c r="IH457" s="8"/>
      <c r="II457" s="8"/>
      <c r="IJ457" s="8"/>
      <c r="IK457" s="8"/>
      <c r="IL457" s="8"/>
      <c r="IM457" s="8"/>
      <c r="IN457" s="8"/>
      <c r="IO457" s="8"/>
      <c r="IP457" s="8"/>
      <c r="IQ457" s="8"/>
      <c r="IR457" s="8"/>
      <c r="IS457" s="8"/>
      <c r="IT457" s="8"/>
      <c r="IU457" s="8"/>
      <c r="IV457" s="8"/>
    </row>
    <row r="458" ht="12.75" customHeight="1">
      <c r="A458" s="8"/>
      <c r="HT458" s="8"/>
      <c r="HU458" s="8"/>
      <c r="HV458" s="8"/>
      <c r="HW458" s="8"/>
      <c r="HX458" s="8"/>
      <c r="HY458" s="8"/>
      <c r="HZ458" s="8"/>
      <c r="IA458" s="8"/>
      <c r="IB458" s="8"/>
      <c r="IC458" s="8"/>
      <c r="ID458" s="8"/>
      <c r="IE458" s="8"/>
      <c r="IF458" s="8"/>
      <c r="IG458" s="8"/>
      <c r="IH458" s="8"/>
      <c r="II458" s="8"/>
      <c r="IJ458" s="8"/>
      <c r="IK458" s="8"/>
      <c r="IL458" s="8"/>
      <c r="IM458" s="8"/>
      <c r="IN458" s="8"/>
      <c r="IO458" s="8"/>
      <c r="IP458" s="8"/>
      <c r="IQ458" s="8"/>
      <c r="IR458" s="8"/>
      <c r="IS458" s="8"/>
      <c r="IT458" s="8"/>
      <c r="IU458" s="8"/>
      <c r="IV458" s="8"/>
    </row>
    <row r="459" ht="12.75" customHeight="1">
      <c r="A459" s="8"/>
      <c r="HT459" s="8"/>
      <c r="HU459" s="8"/>
      <c r="HV459" s="8"/>
      <c r="HW459" s="8"/>
      <c r="HX459" s="8"/>
      <c r="HY459" s="8"/>
      <c r="HZ459" s="8"/>
      <c r="IA459" s="8"/>
      <c r="IB459" s="8"/>
      <c r="IC459" s="8"/>
      <c r="ID459" s="8"/>
      <c r="IE459" s="8"/>
      <c r="IF459" s="8"/>
      <c r="IG459" s="8"/>
      <c r="IH459" s="8"/>
      <c r="II459" s="8"/>
      <c r="IJ459" s="8"/>
      <c r="IK459" s="8"/>
      <c r="IL459" s="8"/>
      <c r="IM459" s="8"/>
      <c r="IN459" s="8"/>
      <c r="IO459" s="8"/>
      <c r="IP459" s="8"/>
      <c r="IQ459" s="8"/>
      <c r="IR459" s="8"/>
      <c r="IS459" s="8"/>
      <c r="IT459" s="8"/>
      <c r="IU459" s="8"/>
      <c r="IV459" s="8"/>
    </row>
    <row r="460" ht="12.75" customHeight="1">
      <c r="A460" s="8"/>
      <c r="HT460" s="8"/>
      <c r="HU460" s="8"/>
      <c r="HV460" s="8"/>
      <c r="HW460" s="8"/>
      <c r="HX460" s="8"/>
      <c r="HY460" s="8"/>
      <c r="HZ460" s="8"/>
      <c r="IA460" s="8"/>
      <c r="IB460" s="8"/>
      <c r="IC460" s="8"/>
      <c r="ID460" s="8"/>
      <c r="IE460" s="8"/>
      <c r="IF460" s="8"/>
      <c r="IG460" s="8"/>
      <c r="IH460" s="8"/>
      <c r="II460" s="8"/>
      <c r="IJ460" s="8"/>
      <c r="IK460" s="8"/>
      <c r="IL460" s="8"/>
      <c r="IM460" s="8"/>
      <c r="IN460" s="8"/>
      <c r="IO460" s="8"/>
      <c r="IP460" s="8"/>
      <c r="IQ460" s="8"/>
      <c r="IR460" s="8"/>
      <c r="IS460" s="8"/>
      <c r="IT460" s="8"/>
      <c r="IU460" s="8"/>
      <c r="IV460" s="8"/>
    </row>
    <row r="461" ht="12.75" customHeight="1">
      <c r="A461" s="8"/>
      <c r="HT461" s="8"/>
      <c r="HU461" s="8"/>
      <c r="HV461" s="8"/>
      <c r="HW461" s="8"/>
      <c r="HX461" s="8"/>
      <c r="HY461" s="8"/>
      <c r="HZ461" s="8"/>
      <c r="IA461" s="8"/>
      <c r="IB461" s="8"/>
      <c r="IC461" s="8"/>
      <c r="ID461" s="8"/>
      <c r="IE461" s="8"/>
      <c r="IF461" s="8"/>
      <c r="IG461" s="8"/>
      <c r="IH461" s="8"/>
      <c r="II461" s="8"/>
      <c r="IJ461" s="8"/>
      <c r="IK461" s="8"/>
      <c r="IL461" s="8"/>
      <c r="IM461" s="8"/>
      <c r="IN461" s="8"/>
      <c r="IO461" s="8"/>
      <c r="IP461" s="8"/>
      <c r="IQ461" s="8"/>
      <c r="IR461" s="8"/>
      <c r="IS461" s="8"/>
      <c r="IT461" s="8"/>
      <c r="IU461" s="8"/>
      <c r="IV461" s="8"/>
    </row>
    <row r="462" ht="12.75" customHeight="1">
      <c r="A462" s="8"/>
      <c r="HT462" s="8"/>
      <c r="HU462" s="8"/>
      <c r="HV462" s="8"/>
      <c r="HW462" s="8"/>
      <c r="HX462" s="8"/>
      <c r="HY462" s="8"/>
      <c r="HZ462" s="8"/>
      <c r="IA462" s="8"/>
      <c r="IB462" s="8"/>
      <c r="IC462" s="8"/>
      <c r="ID462" s="8"/>
      <c r="IE462" s="8"/>
      <c r="IF462" s="8"/>
      <c r="IG462" s="8"/>
      <c r="IH462" s="8"/>
      <c r="II462" s="8"/>
      <c r="IJ462" s="8"/>
      <c r="IK462" s="8"/>
      <c r="IL462" s="8"/>
      <c r="IM462" s="8"/>
      <c r="IN462" s="8"/>
      <c r="IO462" s="8"/>
      <c r="IP462" s="8"/>
      <c r="IQ462" s="8"/>
      <c r="IR462" s="8"/>
      <c r="IS462" s="8"/>
      <c r="IT462" s="8"/>
      <c r="IU462" s="8"/>
      <c r="IV462" s="8"/>
    </row>
    <row r="463" ht="12.75" customHeight="1">
      <c r="A463" s="8"/>
      <c r="HT463" s="8"/>
      <c r="HU463" s="8"/>
      <c r="HV463" s="8"/>
      <c r="HW463" s="8"/>
      <c r="HX463" s="8"/>
      <c r="HY463" s="8"/>
      <c r="HZ463" s="8"/>
      <c r="IA463" s="8"/>
      <c r="IB463" s="8"/>
      <c r="IC463" s="8"/>
      <c r="ID463" s="8"/>
      <c r="IE463" s="8"/>
      <c r="IF463" s="8"/>
      <c r="IG463" s="8"/>
      <c r="IH463" s="8"/>
      <c r="II463" s="8"/>
      <c r="IJ463" s="8"/>
      <c r="IK463" s="8"/>
      <c r="IL463" s="8"/>
      <c r="IM463" s="8"/>
      <c r="IN463" s="8"/>
      <c r="IO463" s="8"/>
      <c r="IP463" s="8"/>
      <c r="IQ463" s="8"/>
      <c r="IR463" s="8"/>
      <c r="IS463" s="8"/>
      <c r="IT463" s="8"/>
      <c r="IU463" s="8"/>
      <c r="IV463" s="8"/>
    </row>
    <row r="464" ht="12.75" customHeight="1">
      <c r="A464" s="8"/>
      <c r="HT464" s="8"/>
      <c r="HU464" s="8"/>
      <c r="HV464" s="8"/>
      <c r="HW464" s="8"/>
      <c r="HX464" s="8"/>
      <c r="HY464" s="8"/>
      <c r="HZ464" s="8"/>
      <c r="IA464" s="8"/>
      <c r="IB464" s="8"/>
      <c r="IC464" s="8"/>
      <c r="ID464" s="8"/>
      <c r="IE464" s="8"/>
      <c r="IF464" s="8"/>
      <c r="IG464" s="8"/>
      <c r="IH464" s="8"/>
      <c r="II464" s="8"/>
      <c r="IJ464" s="8"/>
      <c r="IK464" s="8"/>
      <c r="IL464" s="8"/>
      <c r="IM464" s="8"/>
      <c r="IN464" s="8"/>
      <c r="IO464" s="8"/>
      <c r="IP464" s="8"/>
      <c r="IQ464" s="8"/>
      <c r="IR464" s="8"/>
      <c r="IS464" s="8"/>
      <c r="IT464" s="8"/>
      <c r="IU464" s="8"/>
      <c r="IV464" s="8"/>
    </row>
    <row r="465" ht="12.75" customHeight="1">
      <c r="A465" s="8"/>
      <c r="HT465" s="8"/>
      <c r="HU465" s="8"/>
      <c r="HV465" s="8"/>
      <c r="HW465" s="8"/>
      <c r="HX465" s="8"/>
      <c r="HY465" s="8"/>
      <c r="HZ465" s="8"/>
      <c r="IA465" s="8"/>
      <c r="IB465" s="8"/>
      <c r="IC465" s="8"/>
      <c r="ID465" s="8"/>
      <c r="IE465" s="8"/>
      <c r="IF465" s="8"/>
      <c r="IG465" s="8"/>
      <c r="IH465" s="8"/>
      <c r="II465" s="8"/>
      <c r="IJ465" s="8"/>
      <c r="IK465" s="8"/>
      <c r="IL465" s="8"/>
      <c r="IM465" s="8"/>
      <c r="IN465" s="8"/>
      <c r="IO465" s="8"/>
      <c r="IP465" s="8"/>
      <c r="IQ465" s="8"/>
      <c r="IR465" s="8"/>
      <c r="IS465" s="8"/>
      <c r="IT465" s="8"/>
      <c r="IU465" s="8"/>
      <c r="IV465" s="8"/>
    </row>
    <row r="466" ht="12.75" customHeight="1">
      <c r="A466" s="8"/>
      <c r="HT466" s="8"/>
      <c r="HU466" s="8"/>
      <c r="HV466" s="8"/>
      <c r="HW466" s="8"/>
      <c r="HX466" s="8"/>
      <c r="HY466" s="8"/>
      <c r="HZ466" s="8"/>
      <c r="IA466" s="8"/>
      <c r="IB466" s="8"/>
      <c r="IC466" s="8"/>
      <c r="ID466" s="8"/>
      <c r="IE466" s="8"/>
      <c r="IF466" s="8"/>
      <c r="IG466" s="8"/>
      <c r="IH466" s="8"/>
      <c r="II466" s="8"/>
      <c r="IJ466" s="8"/>
      <c r="IK466" s="8"/>
      <c r="IL466" s="8"/>
      <c r="IM466" s="8"/>
      <c r="IN466" s="8"/>
      <c r="IO466" s="8"/>
      <c r="IP466" s="8"/>
      <c r="IQ466" s="8"/>
      <c r="IR466" s="8"/>
      <c r="IS466" s="8"/>
      <c r="IT466" s="8"/>
      <c r="IU466" s="8"/>
      <c r="IV466" s="8"/>
    </row>
    <row r="467" ht="12.75" customHeight="1">
      <c r="A467" s="8"/>
      <c r="HT467" s="8"/>
      <c r="HU467" s="8"/>
      <c r="HV467" s="8"/>
      <c r="HW467" s="8"/>
      <c r="HX467" s="8"/>
      <c r="HY467" s="8"/>
      <c r="HZ467" s="8"/>
      <c r="IA467" s="8"/>
      <c r="IB467" s="8"/>
      <c r="IC467" s="8"/>
      <c r="ID467" s="8"/>
      <c r="IE467" s="8"/>
      <c r="IF467" s="8"/>
      <c r="IG467" s="8"/>
      <c r="IH467" s="8"/>
      <c r="II467" s="8"/>
      <c r="IJ467" s="8"/>
      <c r="IK467" s="8"/>
      <c r="IL467" s="8"/>
      <c r="IM467" s="8"/>
      <c r="IN467" s="8"/>
      <c r="IO467" s="8"/>
      <c r="IP467" s="8"/>
      <c r="IQ467" s="8"/>
      <c r="IR467" s="8"/>
      <c r="IS467" s="8"/>
      <c r="IT467" s="8"/>
      <c r="IU467" s="8"/>
      <c r="IV467" s="8"/>
    </row>
    <row r="468" ht="12.75" customHeight="1">
      <c r="A468" s="8"/>
      <c r="HT468" s="8"/>
      <c r="HU468" s="8"/>
      <c r="HV468" s="8"/>
      <c r="HW468" s="8"/>
      <c r="HX468" s="8"/>
      <c r="HY468" s="8"/>
      <c r="HZ468" s="8"/>
      <c r="IA468" s="8"/>
      <c r="IB468" s="8"/>
      <c r="IC468" s="8"/>
      <c r="ID468" s="8"/>
      <c r="IE468" s="8"/>
      <c r="IF468" s="8"/>
      <c r="IG468" s="8"/>
      <c r="IH468" s="8"/>
      <c r="II468" s="8"/>
      <c r="IJ468" s="8"/>
      <c r="IK468" s="8"/>
      <c r="IL468" s="8"/>
      <c r="IM468" s="8"/>
      <c r="IN468" s="8"/>
      <c r="IO468" s="8"/>
      <c r="IP468" s="8"/>
      <c r="IQ468" s="8"/>
      <c r="IR468" s="8"/>
      <c r="IS468" s="8"/>
      <c r="IT468" s="8"/>
      <c r="IU468" s="8"/>
      <c r="IV468" s="8"/>
    </row>
    <row r="469" ht="12.75" customHeight="1">
      <c r="A469" s="8"/>
      <c r="HT469" s="8"/>
      <c r="HU469" s="8"/>
      <c r="HV469" s="8"/>
      <c r="HW469" s="8"/>
      <c r="HX469" s="8"/>
      <c r="HY469" s="8"/>
      <c r="HZ469" s="8"/>
      <c r="IA469" s="8"/>
      <c r="IB469" s="8"/>
      <c r="IC469" s="8"/>
      <c r="ID469" s="8"/>
      <c r="IE469" s="8"/>
      <c r="IF469" s="8"/>
      <c r="IG469" s="8"/>
      <c r="IH469" s="8"/>
      <c r="II469" s="8"/>
      <c r="IJ469" s="8"/>
      <c r="IK469" s="8"/>
      <c r="IL469" s="8"/>
      <c r="IM469" s="8"/>
      <c r="IN469" s="8"/>
      <c r="IO469" s="8"/>
      <c r="IP469" s="8"/>
      <c r="IQ469" s="8"/>
      <c r="IR469" s="8"/>
      <c r="IS469" s="8"/>
      <c r="IT469" s="8"/>
      <c r="IU469" s="8"/>
      <c r="IV469" s="8"/>
    </row>
    <row r="470" ht="12.75" customHeight="1">
      <c r="A470" s="8"/>
      <c r="HT470" s="8"/>
      <c r="HU470" s="8"/>
      <c r="HV470" s="8"/>
      <c r="HW470" s="8"/>
      <c r="HX470" s="8"/>
      <c r="HY470" s="8"/>
      <c r="HZ470" s="8"/>
      <c r="IA470" s="8"/>
      <c r="IB470" s="8"/>
      <c r="IC470" s="8"/>
      <c r="ID470" s="8"/>
      <c r="IE470" s="8"/>
      <c r="IF470" s="8"/>
      <c r="IG470" s="8"/>
      <c r="IH470" s="8"/>
      <c r="II470" s="8"/>
      <c r="IJ470" s="8"/>
      <c r="IK470" s="8"/>
      <c r="IL470" s="8"/>
      <c r="IM470" s="8"/>
      <c r="IN470" s="8"/>
      <c r="IO470" s="8"/>
      <c r="IP470" s="8"/>
      <c r="IQ470" s="8"/>
      <c r="IR470" s="8"/>
      <c r="IS470" s="8"/>
      <c r="IT470" s="8"/>
      <c r="IU470" s="8"/>
      <c r="IV470" s="8"/>
    </row>
    <row r="471" ht="12.75" customHeight="1">
      <c r="A471" s="8"/>
      <c r="HT471" s="8"/>
      <c r="HU471" s="8"/>
      <c r="HV471" s="8"/>
      <c r="HW471" s="8"/>
      <c r="HX471" s="8"/>
      <c r="HY471" s="8"/>
      <c r="HZ471" s="8"/>
      <c r="IA471" s="8"/>
      <c r="IB471" s="8"/>
      <c r="IC471" s="8"/>
      <c r="ID471" s="8"/>
      <c r="IE471" s="8"/>
      <c r="IF471" s="8"/>
      <c r="IG471" s="8"/>
      <c r="IH471" s="8"/>
      <c r="II471" s="8"/>
      <c r="IJ471" s="8"/>
      <c r="IK471" s="8"/>
      <c r="IL471" s="8"/>
      <c r="IM471" s="8"/>
      <c r="IN471" s="8"/>
      <c r="IO471" s="8"/>
      <c r="IP471" s="8"/>
      <c r="IQ471" s="8"/>
      <c r="IR471" s="8"/>
      <c r="IS471" s="8"/>
      <c r="IT471" s="8"/>
      <c r="IU471" s="8"/>
      <c r="IV471" s="8"/>
    </row>
    <row r="472" ht="12.75" customHeight="1">
      <c r="A472" s="8"/>
      <c r="HT472" s="8"/>
      <c r="HU472" s="8"/>
      <c r="HV472" s="8"/>
      <c r="HW472" s="8"/>
      <c r="HX472" s="8"/>
      <c r="HY472" s="8"/>
      <c r="HZ472" s="8"/>
      <c r="IA472" s="8"/>
      <c r="IB472" s="8"/>
      <c r="IC472" s="8"/>
      <c r="ID472" s="8"/>
      <c r="IE472" s="8"/>
      <c r="IF472" s="8"/>
      <c r="IG472" s="8"/>
      <c r="IH472" s="8"/>
      <c r="II472" s="8"/>
      <c r="IJ472" s="8"/>
      <c r="IK472" s="8"/>
      <c r="IL472" s="8"/>
      <c r="IM472" s="8"/>
      <c r="IN472" s="8"/>
      <c r="IO472" s="8"/>
      <c r="IP472" s="8"/>
      <c r="IQ472" s="8"/>
      <c r="IR472" s="8"/>
      <c r="IS472" s="8"/>
      <c r="IT472" s="8"/>
      <c r="IU472" s="8"/>
      <c r="IV472" s="8"/>
    </row>
    <row r="473" ht="12.75" customHeight="1">
      <c r="A473" s="8"/>
      <c r="HT473" s="8"/>
      <c r="HU473" s="8"/>
      <c r="HV473" s="8"/>
      <c r="HW473" s="8"/>
      <c r="HX473" s="8"/>
      <c r="HY473" s="8"/>
      <c r="HZ473" s="8"/>
      <c r="IA473" s="8"/>
      <c r="IB473" s="8"/>
      <c r="IC473" s="8"/>
      <c r="ID473" s="8"/>
      <c r="IE473" s="8"/>
      <c r="IF473" s="8"/>
      <c r="IG473" s="8"/>
      <c r="IH473" s="8"/>
      <c r="II473" s="8"/>
      <c r="IJ473" s="8"/>
      <c r="IK473" s="8"/>
      <c r="IL473" s="8"/>
      <c r="IM473" s="8"/>
      <c r="IN473" s="8"/>
      <c r="IO473" s="8"/>
      <c r="IP473" s="8"/>
      <c r="IQ473" s="8"/>
      <c r="IR473" s="8"/>
      <c r="IS473" s="8"/>
      <c r="IT473" s="8"/>
      <c r="IU473" s="8"/>
      <c r="IV473" s="8"/>
    </row>
    <row r="474" ht="12.75" customHeight="1">
      <c r="A474" s="8"/>
      <c r="HT474" s="8"/>
      <c r="HU474" s="8"/>
      <c r="HV474" s="8"/>
      <c r="HW474" s="8"/>
      <c r="HX474" s="8"/>
      <c r="HY474" s="8"/>
      <c r="HZ474" s="8"/>
      <c r="IA474" s="8"/>
      <c r="IB474" s="8"/>
      <c r="IC474" s="8"/>
      <c r="ID474" s="8"/>
      <c r="IE474" s="8"/>
      <c r="IF474" s="8"/>
      <c r="IG474" s="8"/>
      <c r="IH474" s="8"/>
      <c r="II474" s="8"/>
      <c r="IJ474" s="8"/>
      <c r="IK474" s="8"/>
      <c r="IL474" s="8"/>
      <c r="IM474" s="8"/>
      <c r="IN474" s="8"/>
      <c r="IO474" s="8"/>
      <c r="IP474" s="8"/>
      <c r="IQ474" s="8"/>
      <c r="IR474" s="8"/>
      <c r="IS474" s="8"/>
      <c r="IT474" s="8"/>
      <c r="IU474" s="8"/>
      <c r="IV474" s="8"/>
    </row>
    <row r="475" ht="12.75" customHeight="1">
      <c r="A475" s="8"/>
      <c r="HT475" s="8"/>
      <c r="HU475" s="8"/>
      <c r="HV475" s="8"/>
      <c r="HW475" s="8"/>
      <c r="HX475" s="8"/>
      <c r="HY475" s="8"/>
      <c r="HZ475" s="8"/>
      <c r="IA475" s="8"/>
      <c r="IB475" s="8"/>
      <c r="IC475" s="8"/>
      <c r="ID475" s="8"/>
      <c r="IE475" s="8"/>
      <c r="IF475" s="8"/>
      <c r="IG475" s="8"/>
      <c r="IH475" s="8"/>
      <c r="II475" s="8"/>
      <c r="IJ475" s="8"/>
      <c r="IK475" s="8"/>
      <c r="IL475" s="8"/>
      <c r="IM475" s="8"/>
      <c r="IN475" s="8"/>
      <c r="IO475" s="8"/>
      <c r="IP475" s="8"/>
      <c r="IQ475" s="8"/>
      <c r="IR475" s="8"/>
      <c r="IS475" s="8"/>
      <c r="IT475" s="8"/>
      <c r="IU475" s="8"/>
      <c r="IV475" s="8"/>
    </row>
    <row r="476" ht="12.75" customHeight="1">
      <c r="A476" s="8"/>
      <c r="HT476" s="8"/>
      <c r="HU476" s="8"/>
      <c r="HV476" s="8"/>
      <c r="HW476" s="8"/>
      <c r="HX476" s="8"/>
      <c r="HY476" s="8"/>
      <c r="HZ476" s="8"/>
      <c r="IA476" s="8"/>
      <c r="IB476" s="8"/>
      <c r="IC476" s="8"/>
      <c r="ID476" s="8"/>
      <c r="IE476" s="8"/>
      <c r="IF476" s="8"/>
      <c r="IG476" s="8"/>
      <c r="IH476" s="8"/>
      <c r="II476" s="8"/>
      <c r="IJ476" s="8"/>
      <c r="IK476" s="8"/>
      <c r="IL476" s="8"/>
      <c r="IM476" s="8"/>
      <c r="IN476" s="8"/>
      <c r="IO476" s="8"/>
      <c r="IP476" s="8"/>
      <c r="IQ476" s="8"/>
      <c r="IR476" s="8"/>
      <c r="IS476" s="8"/>
      <c r="IT476" s="8"/>
      <c r="IU476" s="8"/>
      <c r="IV476" s="8"/>
    </row>
    <row r="477" ht="12.75" customHeight="1">
      <c r="A477" s="8"/>
      <c r="HT477" s="8"/>
      <c r="HU477" s="8"/>
      <c r="HV477" s="8"/>
      <c r="HW477" s="8"/>
      <c r="HX477" s="8"/>
      <c r="HY477" s="8"/>
      <c r="HZ477" s="8"/>
      <c r="IA477" s="8"/>
      <c r="IB477" s="8"/>
      <c r="IC477" s="8"/>
      <c r="ID477" s="8"/>
      <c r="IE477" s="8"/>
      <c r="IF477" s="8"/>
      <c r="IG477" s="8"/>
      <c r="IH477" s="8"/>
      <c r="II477" s="8"/>
      <c r="IJ477" s="8"/>
      <c r="IK477" s="8"/>
      <c r="IL477" s="8"/>
      <c r="IM477" s="8"/>
      <c r="IN477" s="8"/>
      <c r="IO477" s="8"/>
      <c r="IP477" s="8"/>
      <c r="IQ477" s="8"/>
      <c r="IR477" s="8"/>
      <c r="IS477" s="8"/>
      <c r="IT477" s="8"/>
      <c r="IU477" s="8"/>
      <c r="IV477" s="8"/>
    </row>
    <row r="478" ht="12.75" customHeight="1">
      <c r="A478" s="8"/>
      <c r="HT478" s="8"/>
      <c r="HU478" s="8"/>
      <c r="HV478" s="8"/>
      <c r="HW478" s="8"/>
      <c r="HX478" s="8"/>
      <c r="HY478" s="8"/>
      <c r="HZ478" s="8"/>
      <c r="IA478" s="8"/>
      <c r="IB478" s="8"/>
      <c r="IC478" s="8"/>
      <c r="ID478" s="8"/>
      <c r="IE478" s="8"/>
      <c r="IF478" s="8"/>
      <c r="IG478" s="8"/>
      <c r="IH478" s="8"/>
      <c r="II478" s="8"/>
      <c r="IJ478" s="8"/>
      <c r="IK478" s="8"/>
      <c r="IL478" s="8"/>
      <c r="IM478" s="8"/>
      <c r="IN478" s="8"/>
      <c r="IO478" s="8"/>
      <c r="IP478" s="8"/>
      <c r="IQ478" s="8"/>
      <c r="IR478" s="8"/>
      <c r="IS478" s="8"/>
      <c r="IT478" s="8"/>
      <c r="IU478" s="8"/>
      <c r="IV478" s="8"/>
    </row>
    <row r="479" ht="12.75" customHeight="1">
      <c r="A479" s="8"/>
      <c r="HT479" s="8"/>
      <c r="HU479" s="8"/>
      <c r="HV479" s="8"/>
      <c r="HW479" s="8"/>
      <c r="HX479" s="8"/>
      <c r="HY479" s="8"/>
      <c r="HZ479" s="8"/>
      <c r="IA479" s="8"/>
      <c r="IB479" s="8"/>
      <c r="IC479" s="8"/>
      <c r="ID479" s="8"/>
      <c r="IE479" s="8"/>
      <c r="IF479" s="8"/>
      <c r="IG479" s="8"/>
      <c r="IH479" s="8"/>
      <c r="II479" s="8"/>
      <c r="IJ479" s="8"/>
      <c r="IK479" s="8"/>
      <c r="IL479" s="8"/>
      <c r="IM479" s="8"/>
      <c r="IN479" s="8"/>
      <c r="IO479" s="8"/>
      <c r="IP479" s="8"/>
      <c r="IQ479" s="8"/>
      <c r="IR479" s="8"/>
      <c r="IS479" s="8"/>
      <c r="IT479" s="8"/>
      <c r="IU479" s="8"/>
      <c r="IV479" s="8"/>
    </row>
    <row r="480" ht="12.75" customHeight="1">
      <c r="A480" s="8"/>
      <c r="HT480" s="8"/>
      <c r="HU480" s="8"/>
      <c r="HV480" s="8"/>
      <c r="HW480" s="8"/>
      <c r="HX480" s="8"/>
      <c r="HY480" s="8"/>
      <c r="HZ480" s="8"/>
      <c r="IA480" s="8"/>
      <c r="IB480" s="8"/>
      <c r="IC480" s="8"/>
      <c r="ID480" s="8"/>
      <c r="IE480" s="8"/>
      <c r="IF480" s="8"/>
      <c r="IG480" s="8"/>
      <c r="IH480" s="8"/>
      <c r="II480" s="8"/>
      <c r="IJ480" s="8"/>
      <c r="IK480" s="8"/>
      <c r="IL480" s="8"/>
      <c r="IM480" s="8"/>
      <c r="IN480" s="8"/>
      <c r="IO480" s="8"/>
      <c r="IP480" s="8"/>
      <c r="IQ480" s="8"/>
      <c r="IR480" s="8"/>
      <c r="IS480" s="8"/>
      <c r="IT480" s="8"/>
      <c r="IU480" s="8"/>
      <c r="IV480" s="8"/>
    </row>
    <row r="481" ht="12.75" customHeight="1">
      <c r="A481" s="8"/>
      <c r="HT481" s="8"/>
      <c r="HU481" s="8"/>
      <c r="HV481" s="8"/>
      <c r="HW481" s="8"/>
      <c r="HX481" s="8"/>
      <c r="HY481" s="8"/>
      <c r="HZ481" s="8"/>
      <c r="IA481" s="8"/>
      <c r="IB481" s="8"/>
      <c r="IC481" s="8"/>
      <c r="ID481" s="8"/>
      <c r="IE481" s="8"/>
      <c r="IF481" s="8"/>
      <c r="IG481" s="8"/>
      <c r="IH481" s="8"/>
      <c r="II481" s="8"/>
      <c r="IJ481" s="8"/>
      <c r="IK481" s="8"/>
      <c r="IL481" s="8"/>
      <c r="IM481" s="8"/>
      <c r="IN481" s="8"/>
      <c r="IO481" s="8"/>
      <c r="IP481" s="8"/>
      <c r="IQ481" s="8"/>
      <c r="IR481" s="8"/>
      <c r="IS481" s="8"/>
      <c r="IT481" s="8"/>
      <c r="IU481" s="8"/>
      <c r="IV481" s="8"/>
    </row>
    <row r="482" ht="12.75" customHeight="1">
      <c r="A482" s="8"/>
      <c r="HT482" s="8"/>
      <c r="HU482" s="8"/>
      <c r="HV482" s="8"/>
      <c r="HW482" s="8"/>
      <c r="HX482" s="8"/>
      <c r="HY482" s="8"/>
      <c r="HZ482" s="8"/>
      <c r="IA482" s="8"/>
      <c r="IB482" s="8"/>
      <c r="IC482" s="8"/>
      <c r="ID482" s="8"/>
      <c r="IE482" s="8"/>
      <c r="IF482" s="8"/>
      <c r="IG482" s="8"/>
      <c r="IH482" s="8"/>
      <c r="II482" s="8"/>
      <c r="IJ482" s="8"/>
      <c r="IK482" s="8"/>
      <c r="IL482" s="8"/>
      <c r="IM482" s="8"/>
      <c r="IN482" s="8"/>
      <c r="IO482" s="8"/>
      <c r="IP482" s="8"/>
      <c r="IQ482" s="8"/>
      <c r="IR482" s="8"/>
      <c r="IS482" s="8"/>
      <c r="IT482" s="8"/>
      <c r="IU482" s="8"/>
      <c r="IV482" s="8"/>
    </row>
    <row r="483" ht="12.75" customHeight="1">
      <c r="A483" s="8"/>
      <c r="HT483" s="8"/>
      <c r="HU483" s="8"/>
      <c r="HV483" s="8"/>
      <c r="HW483" s="8"/>
      <c r="HX483" s="8"/>
      <c r="HY483" s="8"/>
      <c r="HZ483" s="8"/>
      <c r="IA483" s="8"/>
      <c r="IB483" s="8"/>
      <c r="IC483" s="8"/>
      <c r="ID483" s="8"/>
      <c r="IE483" s="8"/>
      <c r="IF483" s="8"/>
      <c r="IG483" s="8"/>
      <c r="IH483" s="8"/>
      <c r="II483" s="8"/>
      <c r="IJ483" s="8"/>
      <c r="IK483" s="8"/>
      <c r="IL483" s="8"/>
      <c r="IM483" s="8"/>
      <c r="IN483" s="8"/>
      <c r="IO483" s="8"/>
      <c r="IP483" s="8"/>
      <c r="IQ483" s="8"/>
      <c r="IR483" s="8"/>
      <c r="IS483" s="8"/>
      <c r="IT483" s="8"/>
      <c r="IU483" s="8"/>
      <c r="IV483" s="8"/>
    </row>
    <row r="484" ht="12.75" customHeight="1">
      <c r="A484" s="8"/>
      <c r="HT484" s="8"/>
      <c r="HU484" s="8"/>
      <c r="HV484" s="8"/>
      <c r="HW484" s="8"/>
      <c r="HX484" s="8"/>
      <c r="HY484" s="8"/>
      <c r="HZ484" s="8"/>
      <c r="IA484" s="8"/>
      <c r="IB484" s="8"/>
      <c r="IC484" s="8"/>
      <c r="ID484" s="8"/>
      <c r="IE484" s="8"/>
      <c r="IF484" s="8"/>
      <c r="IG484" s="8"/>
      <c r="IH484" s="8"/>
      <c r="II484" s="8"/>
      <c r="IJ484" s="8"/>
      <c r="IK484" s="8"/>
      <c r="IL484" s="8"/>
      <c r="IM484" s="8"/>
      <c r="IN484" s="8"/>
      <c r="IO484" s="8"/>
      <c r="IP484" s="8"/>
      <c r="IQ484" s="8"/>
      <c r="IR484" s="8"/>
      <c r="IS484" s="8"/>
      <c r="IT484" s="8"/>
      <c r="IU484" s="8"/>
      <c r="IV484" s="8"/>
    </row>
    <row r="485" ht="12.75" customHeight="1">
      <c r="A485" s="8"/>
      <c r="HT485" s="8"/>
      <c r="HU485" s="8"/>
      <c r="HV485" s="8"/>
      <c r="HW485" s="8"/>
      <c r="HX485" s="8"/>
      <c r="HY485" s="8"/>
      <c r="HZ485" s="8"/>
      <c r="IA485" s="8"/>
      <c r="IB485" s="8"/>
      <c r="IC485" s="8"/>
      <c r="ID485" s="8"/>
      <c r="IE485" s="8"/>
      <c r="IF485" s="8"/>
      <c r="IG485" s="8"/>
      <c r="IH485" s="8"/>
      <c r="II485" s="8"/>
      <c r="IJ485" s="8"/>
      <c r="IK485" s="8"/>
      <c r="IL485" s="8"/>
      <c r="IM485" s="8"/>
      <c r="IN485" s="8"/>
      <c r="IO485" s="8"/>
      <c r="IP485" s="8"/>
      <c r="IQ485" s="8"/>
      <c r="IR485" s="8"/>
      <c r="IS485" s="8"/>
      <c r="IT485" s="8"/>
      <c r="IU485" s="8"/>
      <c r="IV485" s="8"/>
    </row>
    <row r="486" ht="12.75" customHeight="1">
      <c r="A486" s="8"/>
      <c r="HT486" s="8"/>
      <c r="HU486" s="8"/>
      <c r="HV486" s="8"/>
      <c r="HW486" s="8"/>
      <c r="HX486" s="8"/>
      <c r="HY486" s="8"/>
      <c r="HZ486" s="8"/>
      <c r="IA486" s="8"/>
      <c r="IB486" s="8"/>
      <c r="IC486" s="8"/>
      <c r="ID486" s="8"/>
      <c r="IE486" s="8"/>
      <c r="IF486" s="8"/>
      <c r="IG486" s="8"/>
      <c r="IH486" s="8"/>
      <c r="II486" s="8"/>
      <c r="IJ486" s="8"/>
      <c r="IK486" s="8"/>
      <c r="IL486" s="8"/>
      <c r="IM486" s="8"/>
      <c r="IN486" s="8"/>
      <c r="IO486" s="8"/>
      <c r="IP486" s="8"/>
      <c r="IQ486" s="8"/>
      <c r="IR486" s="8"/>
      <c r="IS486" s="8"/>
      <c r="IT486" s="8"/>
      <c r="IU486" s="8"/>
      <c r="IV486" s="8"/>
    </row>
    <row r="487" ht="12.75" customHeight="1">
      <c r="A487" s="8"/>
      <c r="HT487" s="8"/>
      <c r="HU487" s="8"/>
      <c r="HV487" s="8"/>
      <c r="HW487" s="8"/>
      <c r="HX487" s="8"/>
      <c r="HY487" s="8"/>
      <c r="HZ487" s="8"/>
      <c r="IA487" s="8"/>
      <c r="IB487" s="8"/>
      <c r="IC487" s="8"/>
      <c r="ID487" s="8"/>
      <c r="IE487" s="8"/>
      <c r="IF487" s="8"/>
      <c r="IG487" s="8"/>
      <c r="IH487" s="8"/>
      <c r="II487" s="8"/>
      <c r="IJ487" s="8"/>
      <c r="IK487" s="8"/>
      <c r="IL487" s="8"/>
      <c r="IM487" s="8"/>
      <c r="IN487" s="8"/>
      <c r="IO487" s="8"/>
      <c r="IP487" s="8"/>
      <c r="IQ487" s="8"/>
      <c r="IR487" s="8"/>
      <c r="IS487" s="8"/>
      <c r="IT487" s="8"/>
      <c r="IU487" s="8"/>
      <c r="IV487" s="8"/>
    </row>
    <row r="488" ht="12.75" customHeight="1">
      <c r="A488" s="8"/>
      <c r="HT488" s="8"/>
      <c r="HU488" s="8"/>
      <c r="HV488" s="8"/>
      <c r="HW488" s="8"/>
      <c r="HX488" s="8"/>
      <c r="HY488" s="8"/>
      <c r="HZ488" s="8"/>
      <c r="IA488" s="8"/>
      <c r="IB488" s="8"/>
      <c r="IC488" s="8"/>
      <c r="ID488" s="8"/>
      <c r="IE488" s="8"/>
      <c r="IF488" s="8"/>
      <c r="IG488" s="8"/>
      <c r="IH488" s="8"/>
      <c r="II488" s="8"/>
      <c r="IJ488" s="8"/>
      <c r="IK488" s="8"/>
      <c r="IL488" s="8"/>
      <c r="IM488" s="8"/>
      <c r="IN488" s="8"/>
      <c r="IO488" s="8"/>
      <c r="IP488" s="8"/>
      <c r="IQ488" s="8"/>
      <c r="IR488" s="8"/>
      <c r="IS488" s="8"/>
      <c r="IT488" s="8"/>
      <c r="IU488" s="8"/>
      <c r="IV488" s="8"/>
    </row>
    <row r="489" ht="12.75" customHeight="1">
      <c r="A489" s="8"/>
      <c r="HT489" s="8"/>
      <c r="HU489" s="8"/>
      <c r="HV489" s="8"/>
      <c r="HW489" s="8"/>
      <c r="HX489" s="8"/>
      <c r="HY489" s="8"/>
      <c r="HZ489" s="8"/>
      <c r="IA489" s="8"/>
      <c r="IB489" s="8"/>
      <c r="IC489" s="8"/>
      <c r="ID489" s="8"/>
      <c r="IE489" s="8"/>
      <c r="IF489" s="8"/>
      <c r="IG489" s="8"/>
      <c r="IH489" s="8"/>
      <c r="II489" s="8"/>
      <c r="IJ489" s="8"/>
      <c r="IK489" s="8"/>
      <c r="IL489" s="8"/>
      <c r="IM489" s="8"/>
      <c r="IN489" s="8"/>
      <c r="IO489" s="8"/>
      <c r="IP489" s="8"/>
      <c r="IQ489" s="8"/>
      <c r="IR489" s="8"/>
      <c r="IS489" s="8"/>
      <c r="IT489" s="8"/>
      <c r="IU489" s="8"/>
      <c r="IV489" s="8"/>
    </row>
    <row r="490" ht="12.75" customHeight="1">
      <c r="A490" s="8"/>
      <c r="HT490" s="8"/>
      <c r="HU490" s="8"/>
      <c r="HV490" s="8"/>
      <c r="HW490" s="8"/>
      <c r="HX490" s="8"/>
      <c r="HY490" s="8"/>
      <c r="HZ490" s="8"/>
      <c r="IA490" s="8"/>
      <c r="IB490" s="8"/>
      <c r="IC490" s="8"/>
      <c r="ID490" s="8"/>
      <c r="IE490" s="8"/>
      <c r="IF490" s="8"/>
      <c r="IG490" s="8"/>
      <c r="IH490" s="8"/>
      <c r="II490" s="8"/>
      <c r="IJ490" s="8"/>
      <c r="IK490" s="8"/>
      <c r="IL490" s="8"/>
      <c r="IM490" s="8"/>
      <c r="IN490" s="8"/>
      <c r="IO490" s="8"/>
      <c r="IP490" s="8"/>
      <c r="IQ490" s="8"/>
      <c r="IR490" s="8"/>
      <c r="IS490" s="8"/>
      <c r="IT490" s="8"/>
      <c r="IU490" s="8"/>
      <c r="IV490" s="8"/>
    </row>
    <row r="491" ht="12.75" customHeight="1">
      <c r="A491" s="8"/>
      <c r="HT491" s="8"/>
      <c r="HU491" s="8"/>
      <c r="HV491" s="8"/>
      <c r="HW491" s="8"/>
      <c r="HX491" s="8"/>
      <c r="HY491" s="8"/>
      <c r="HZ491" s="8"/>
      <c r="IA491" s="8"/>
      <c r="IB491" s="8"/>
      <c r="IC491" s="8"/>
      <c r="ID491" s="8"/>
      <c r="IE491" s="8"/>
      <c r="IF491" s="8"/>
      <c r="IG491" s="8"/>
      <c r="IH491" s="8"/>
      <c r="II491" s="8"/>
      <c r="IJ491" s="8"/>
      <c r="IK491" s="8"/>
      <c r="IL491" s="8"/>
      <c r="IM491" s="8"/>
      <c r="IN491" s="8"/>
      <c r="IO491" s="8"/>
      <c r="IP491" s="8"/>
      <c r="IQ491" s="8"/>
      <c r="IR491" s="8"/>
      <c r="IS491" s="8"/>
      <c r="IT491" s="8"/>
      <c r="IU491" s="8"/>
      <c r="IV491" s="8"/>
    </row>
    <row r="492" ht="12.75" customHeight="1">
      <c r="A492" s="8"/>
      <c r="HT492" s="8"/>
      <c r="HU492" s="8"/>
      <c r="HV492" s="8"/>
      <c r="HW492" s="8"/>
      <c r="HX492" s="8"/>
      <c r="HY492" s="8"/>
      <c r="HZ492" s="8"/>
      <c r="IA492" s="8"/>
      <c r="IB492" s="8"/>
      <c r="IC492" s="8"/>
      <c r="ID492" s="8"/>
      <c r="IE492" s="8"/>
      <c r="IF492" s="8"/>
      <c r="IG492" s="8"/>
      <c r="IH492" s="8"/>
      <c r="II492" s="8"/>
      <c r="IJ492" s="8"/>
      <c r="IK492" s="8"/>
      <c r="IL492" s="8"/>
      <c r="IM492" s="8"/>
      <c r="IN492" s="8"/>
      <c r="IO492" s="8"/>
      <c r="IP492" s="8"/>
      <c r="IQ492" s="8"/>
      <c r="IR492" s="8"/>
      <c r="IS492" s="8"/>
      <c r="IT492" s="8"/>
      <c r="IU492" s="8"/>
      <c r="IV492" s="8"/>
    </row>
    <row r="493" ht="12.75" customHeight="1">
      <c r="A493" s="8"/>
      <c r="HT493" s="8"/>
      <c r="HU493" s="8"/>
      <c r="HV493" s="8"/>
      <c r="HW493" s="8"/>
      <c r="HX493" s="8"/>
      <c r="HY493" s="8"/>
      <c r="HZ493" s="8"/>
      <c r="IA493" s="8"/>
      <c r="IB493" s="8"/>
      <c r="IC493" s="8"/>
      <c r="ID493" s="8"/>
      <c r="IE493" s="8"/>
      <c r="IF493" s="8"/>
      <c r="IG493" s="8"/>
      <c r="IH493" s="8"/>
      <c r="II493" s="8"/>
      <c r="IJ493" s="8"/>
      <c r="IK493" s="8"/>
      <c r="IL493" s="8"/>
      <c r="IM493" s="8"/>
      <c r="IN493" s="8"/>
      <c r="IO493" s="8"/>
      <c r="IP493" s="8"/>
      <c r="IQ493" s="8"/>
      <c r="IR493" s="8"/>
      <c r="IS493" s="8"/>
      <c r="IT493" s="8"/>
      <c r="IU493" s="8"/>
      <c r="IV493" s="8"/>
    </row>
    <row r="494" ht="12.75" customHeight="1">
      <c r="A494" s="8"/>
      <c r="HT494" s="8"/>
      <c r="HU494" s="8"/>
      <c r="HV494" s="8"/>
      <c r="HW494" s="8"/>
      <c r="HX494" s="8"/>
      <c r="HY494" s="8"/>
      <c r="HZ494" s="8"/>
      <c r="IA494" s="8"/>
      <c r="IB494" s="8"/>
      <c r="IC494" s="8"/>
      <c r="ID494" s="8"/>
      <c r="IE494" s="8"/>
      <c r="IF494" s="8"/>
      <c r="IG494" s="8"/>
      <c r="IH494" s="8"/>
      <c r="II494" s="8"/>
      <c r="IJ494" s="8"/>
      <c r="IK494" s="8"/>
      <c r="IL494" s="8"/>
      <c r="IM494" s="8"/>
      <c r="IN494" s="8"/>
      <c r="IO494" s="8"/>
      <c r="IP494" s="8"/>
      <c r="IQ494" s="8"/>
      <c r="IR494" s="8"/>
      <c r="IS494" s="8"/>
      <c r="IT494" s="8"/>
      <c r="IU494" s="8"/>
      <c r="IV494" s="8"/>
    </row>
    <row r="495" ht="12.75" customHeight="1">
      <c r="A495" s="8"/>
      <c r="HT495" s="8"/>
      <c r="HU495" s="8"/>
      <c r="HV495" s="8"/>
      <c r="HW495" s="8"/>
      <c r="HX495" s="8"/>
      <c r="HY495" s="8"/>
      <c r="HZ495" s="8"/>
      <c r="IA495" s="8"/>
      <c r="IB495" s="8"/>
      <c r="IC495" s="8"/>
      <c r="ID495" s="8"/>
      <c r="IE495" s="8"/>
      <c r="IF495" s="8"/>
      <c r="IG495" s="8"/>
      <c r="IH495" s="8"/>
      <c r="II495" s="8"/>
      <c r="IJ495" s="8"/>
      <c r="IK495" s="8"/>
      <c r="IL495" s="8"/>
      <c r="IM495" s="8"/>
      <c r="IN495" s="8"/>
      <c r="IO495" s="8"/>
      <c r="IP495" s="8"/>
      <c r="IQ495" s="8"/>
      <c r="IR495" s="8"/>
      <c r="IS495" s="8"/>
      <c r="IT495" s="8"/>
      <c r="IU495" s="8"/>
      <c r="IV495" s="8"/>
    </row>
    <row r="496" ht="12.75" customHeight="1">
      <c r="A496" s="8"/>
      <c r="HT496" s="8"/>
      <c r="HU496" s="8"/>
      <c r="HV496" s="8"/>
      <c r="HW496" s="8"/>
      <c r="HX496" s="8"/>
      <c r="HY496" s="8"/>
      <c r="HZ496" s="8"/>
      <c r="IA496" s="8"/>
      <c r="IB496" s="8"/>
      <c r="IC496" s="8"/>
      <c r="ID496" s="8"/>
      <c r="IE496" s="8"/>
      <c r="IF496" s="8"/>
      <c r="IG496" s="8"/>
      <c r="IH496" s="8"/>
      <c r="II496" s="8"/>
      <c r="IJ496" s="8"/>
      <c r="IK496" s="8"/>
      <c r="IL496" s="8"/>
      <c r="IM496" s="8"/>
      <c r="IN496" s="8"/>
      <c r="IO496" s="8"/>
      <c r="IP496" s="8"/>
      <c r="IQ496" s="8"/>
      <c r="IR496" s="8"/>
      <c r="IS496" s="8"/>
      <c r="IT496" s="8"/>
      <c r="IU496" s="8"/>
      <c r="IV496" s="8"/>
    </row>
    <row r="497" ht="12.75" customHeight="1">
      <c r="A497" s="8"/>
      <c r="HT497" s="8"/>
      <c r="HU497" s="8"/>
      <c r="HV497" s="8"/>
      <c r="HW497" s="8"/>
      <c r="HX497" s="8"/>
      <c r="HY497" s="8"/>
      <c r="HZ497" s="8"/>
      <c r="IA497" s="8"/>
      <c r="IB497" s="8"/>
      <c r="IC497" s="8"/>
      <c r="ID497" s="8"/>
      <c r="IE497" s="8"/>
      <c r="IF497" s="8"/>
      <c r="IG497" s="8"/>
      <c r="IH497" s="8"/>
      <c r="II497" s="8"/>
      <c r="IJ497" s="8"/>
      <c r="IK497" s="8"/>
      <c r="IL497" s="8"/>
      <c r="IM497" s="8"/>
      <c r="IN497" s="8"/>
      <c r="IO497" s="8"/>
      <c r="IP497" s="8"/>
      <c r="IQ497" s="8"/>
      <c r="IR497" s="8"/>
      <c r="IS497" s="8"/>
      <c r="IT497" s="8"/>
      <c r="IU497" s="8"/>
      <c r="IV497" s="8"/>
    </row>
    <row r="498" ht="12.75" customHeight="1">
      <c r="A498" s="8"/>
      <c r="HT498" s="8"/>
      <c r="HU498" s="8"/>
      <c r="HV498" s="8"/>
      <c r="HW498" s="8"/>
      <c r="HX498" s="8"/>
      <c r="HY498" s="8"/>
      <c r="HZ498" s="8"/>
      <c r="IA498" s="8"/>
      <c r="IB498" s="8"/>
      <c r="IC498" s="8"/>
      <c r="ID498" s="8"/>
      <c r="IE498" s="8"/>
      <c r="IF498" s="8"/>
      <c r="IG498" s="8"/>
      <c r="IH498" s="8"/>
      <c r="II498" s="8"/>
      <c r="IJ498" s="8"/>
      <c r="IK498" s="8"/>
      <c r="IL498" s="8"/>
      <c r="IM498" s="8"/>
      <c r="IN498" s="8"/>
      <c r="IO498" s="8"/>
      <c r="IP498" s="8"/>
      <c r="IQ498" s="8"/>
      <c r="IR498" s="8"/>
      <c r="IS498" s="8"/>
      <c r="IT498" s="8"/>
      <c r="IU498" s="8"/>
      <c r="IV498" s="8"/>
    </row>
    <row r="499" ht="12.75" customHeight="1">
      <c r="A499" s="8"/>
      <c r="HT499" s="8"/>
      <c r="HU499" s="8"/>
      <c r="HV499" s="8"/>
      <c r="HW499" s="8"/>
      <c r="HX499" s="8"/>
      <c r="HY499" s="8"/>
      <c r="HZ499" s="8"/>
      <c r="IA499" s="8"/>
      <c r="IB499" s="8"/>
      <c r="IC499" s="8"/>
      <c r="ID499" s="8"/>
      <c r="IE499" s="8"/>
      <c r="IF499" s="8"/>
      <c r="IG499" s="8"/>
      <c r="IH499" s="8"/>
      <c r="II499" s="8"/>
      <c r="IJ499" s="8"/>
      <c r="IK499" s="8"/>
      <c r="IL499" s="8"/>
      <c r="IM499" s="8"/>
      <c r="IN499" s="8"/>
      <c r="IO499" s="8"/>
      <c r="IP499" s="8"/>
      <c r="IQ499" s="8"/>
      <c r="IR499" s="8"/>
      <c r="IS499" s="8"/>
      <c r="IT499" s="8"/>
      <c r="IU499" s="8"/>
      <c r="IV499" s="8"/>
    </row>
    <row r="500" ht="12.75" customHeight="1">
      <c r="A500" s="8"/>
      <c r="HT500" s="8"/>
      <c r="HU500" s="8"/>
      <c r="HV500" s="8"/>
      <c r="HW500" s="8"/>
      <c r="HX500" s="8"/>
      <c r="HY500" s="8"/>
      <c r="HZ500" s="8"/>
      <c r="IA500" s="8"/>
      <c r="IB500" s="8"/>
      <c r="IC500" s="8"/>
      <c r="ID500" s="8"/>
      <c r="IE500" s="8"/>
      <c r="IF500" s="8"/>
      <c r="IG500" s="8"/>
      <c r="IH500" s="8"/>
      <c r="II500" s="8"/>
      <c r="IJ500" s="8"/>
      <c r="IK500" s="8"/>
      <c r="IL500" s="8"/>
      <c r="IM500" s="8"/>
      <c r="IN500" s="8"/>
      <c r="IO500" s="8"/>
      <c r="IP500" s="8"/>
      <c r="IQ500" s="8"/>
      <c r="IR500" s="8"/>
      <c r="IS500" s="8"/>
      <c r="IT500" s="8"/>
      <c r="IU500" s="8"/>
      <c r="IV500" s="8"/>
    </row>
    <row r="501" ht="12.75" customHeight="1">
      <c r="A501" s="8"/>
      <c r="HT501" s="8"/>
      <c r="HU501" s="8"/>
      <c r="HV501" s="8"/>
      <c r="HW501" s="8"/>
      <c r="HX501" s="8"/>
      <c r="HY501" s="8"/>
      <c r="HZ501" s="8"/>
      <c r="IA501" s="8"/>
      <c r="IB501" s="8"/>
      <c r="IC501" s="8"/>
      <c r="ID501" s="8"/>
      <c r="IE501" s="8"/>
      <c r="IF501" s="8"/>
      <c r="IG501" s="8"/>
      <c r="IH501" s="8"/>
      <c r="II501" s="8"/>
      <c r="IJ501" s="8"/>
      <c r="IK501" s="8"/>
      <c r="IL501" s="8"/>
      <c r="IM501" s="8"/>
      <c r="IN501" s="8"/>
      <c r="IO501" s="8"/>
      <c r="IP501" s="8"/>
      <c r="IQ501" s="8"/>
      <c r="IR501" s="8"/>
      <c r="IS501" s="8"/>
      <c r="IT501" s="8"/>
      <c r="IU501" s="8"/>
      <c r="IV501" s="8"/>
    </row>
    <row r="502" ht="12.75" customHeight="1">
      <c r="A502" s="8"/>
      <c r="HT502" s="8"/>
      <c r="HU502" s="8"/>
      <c r="HV502" s="8"/>
      <c r="HW502" s="8"/>
      <c r="HX502" s="8"/>
      <c r="HY502" s="8"/>
      <c r="HZ502" s="8"/>
      <c r="IA502" s="8"/>
      <c r="IB502" s="8"/>
      <c r="IC502" s="8"/>
      <c r="ID502" s="8"/>
      <c r="IE502" s="8"/>
      <c r="IF502" s="8"/>
      <c r="IG502" s="8"/>
      <c r="IH502" s="8"/>
      <c r="II502" s="8"/>
      <c r="IJ502" s="8"/>
      <c r="IK502" s="8"/>
      <c r="IL502" s="8"/>
      <c r="IM502" s="8"/>
      <c r="IN502" s="8"/>
      <c r="IO502" s="8"/>
      <c r="IP502" s="8"/>
      <c r="IQ502" s="8"/>
      <c r="IR502" s="8"/>
      <c r="IS502" s="8"/>
      <c r="IT502" s="8"/>
      <c r="IU502" s="8"/>
      <c r="IV502" s="8"/>
    </row>
    <row r="503" ht="12.75" customHeight="1">
      <c r="A503" s="8"/>
      <c r="HT503" s="8"/>
      <c r="HU503" s="8"/>
      <c r="HV503" s="8"/>
      <c r="HW503" s="8"/>
      <c r="HX503" s="8"/>
      <c r="HY503" s="8"/>
      <c r="HZ503" s="8"/>
      <c r="IA503" s="8"/>
      <c r="IB503" s="8"/>
      <c r="IC503" s="8"/>
      <c r="ID503" s="8"/>
      <c r="IE503" s="8"/>
      <c r="IF503" s="8"/>
      <c r="IG503" s="8"/>
      <c r="IH503" s="8"/>
      <c r="II503" s="8"/>
      <c r="IJ503" s="8"/>
      <c r="IK503" s="8"/>
      <c r="IL503" s="8"/>
      <c r="IM503" s="8"/>
      <c r="IN503" s="8"/>
      <c r="IO503" s="8"/>
      <c r="IP503" s="8"/>
      <c r="IQ503" s="8"/>
      <c r="IR503" s="8"/>
      <c r="IS503" s="8"/>
      <c r="IT503" s="8"/>
      <c r="IU503" s="8"/>
      <c r="IV503" s="8"/>
    </row>
    <row r="504" ht="12.75" customHeight="1">
      <c r="A504" s="8"/>
      <c r="HT504" s="8"/>
      <c r="HU504" s="8"/>
      <c r="HV504" s="8"/>
      <c r="HW504" s="8"/>
      <c r="HX504" s="8"/>
      <c r="HY504" s="8"/>
      <c r="HZ504" s="8"/>
      <c r="IA504" s="8"/>
      <c r="IB504" s="8"/>
      <c r="IC504" s="8"/>
      <c r="ID504" s="8"/>
      <c r="IE504" s="8"/>
      <c r="IF504" s="8"/>
      <c r="IG504" s="8"/>
      <c r="IH504" s="8"/>
      <c r="II504" s="8"/>
      <c r="IJ504" s="8"/>
      <c r="IK504" s="8"/>
      <c r="IL504" s="8"/>
      <c r="IM504" s="8"/>
      <c r="IN504" s="8"/>
      <c r="IO504" s="8"/>
      <c r="IP504" s="8"/>
      <c r="IQ504" s="8"/>
      <c r="IR504" s="8"/>
      <c r="IS504" s="8"/>
      <c r="IT504" s="8"/>
      <c r="IU504" s="8"/>
      <c r="IV504" s="8"/>
    </row>
    <row r="505" ht="12.75" customHeight="1">
      <c r="A505" s="8"/>
      <c r="HT505" s="8"/>
      <c r="HU505" s="8"/>
      <c r="HV505" s="8"/>
      <c r="HW505" s="8"/>
      <c r="HX505" s="8"/>
      <c r="HY505" s="8"/>
      <c r="HZ505" s="8"/>
      <c r="IA505" s="8"/>
      <c r="IB505" s="8"/>
      <c r="IC505" s="8"/>
      <c r="ID505" s="8"/>
      <c r="IE505" s="8"/>
      <c r="IF505" s="8"/>
      <c r="IG505" s="8"/>
      <c r="IH505" s="8"/>
      <c r="II505" s="8"/>
      <c r="IJ505" s="8"/>
      <c r="IK505" s="8"/>
      <c r="IL505" s="8"/>
      <c r="IM505" s="8"/>
      <c r="IN505" s="8"/>
      <c r="IO505" s="8"/>
      <c r="IP505" s="8"/>
      <c r="IQ505" s="8"/>
      <c r="IR505" s="8"/>
      <c r="IS505" s="8"/>
      <c r="IT505" s="8"/>
      <c r="IU505" s="8"/>
      <c r="IV505" s="8"/>
    </row>
    <row r="506" ht="12.75" customHeight="1">
      <c r="A506" s="8"/>
      <c r="HT506" s="8"/>
      <c r="HU506" s="8"/>
      <c r="HV506" s="8"/>
      <c r="HW506" s="8"/>
      <c r="HX506" s="8"/>
      <c r="HY506" s="8"/>
      <c r="HZ506" s="8"/>
      <c r="IA506" s="8"/>
      <c r="IB506" s="8"/>
      <c r="IC506" s="8"/>
      <c r="ID506" s="8"/>
      <c r="IE506" s="8"/>
      <c r="IF506" s="8"/>
      <c r="IG506" s="8"/>
      <c r="IH506" s="8"/>
      <c r="II506" s="8"/>
      <c r="IJ506" s="8"/>
      <c r="IK506" s="8"/>
      <c r="IL506" s="8"/>
      <c r="IM506" s="8"/>
      <c r="IN506" s="8"/>
      <c r="IO506" s="8"/>
      <c r="IP506" s="8"/>
      <c r="IQ506" s="8"/>
      <c r="IR506" s="8"/>
      <c r="IS506" s="8"/>
      <c r="IT506" s="8"/>
      <c r="IU506" s="8"/>
      <c r="IV506" s="8"/>
    </row>
    <row r="507" ht="12.75" customHeight="1">
      <c r="A507" s="8"/>
      <c r="HT507" s="8"/>
      <c r="HU507" s="8"/>
      <c r="HV507" s="8"/>
      <c r="HW507" s="8"/>
      <c r="HX507" s="8"/>
      <c r="HY507" s="8"/>
      <c r="HZ507" s="8"/>
      <c r="IA507" s="8"/>
      <c r="IB507" s="8"/>
      <c r="IC507" s="8"/>
      <c r="ID507" s="8"/>
      <c r="IE507" s="8"/>
      <c r="IF507" s="8"/>
      <c r="IG507" s="8"/>
      <c r="IH507" s="8"/>
      <c r="II507" s="8"/>
      <c r="IJ507" s="8"/>
      <c r="IK507" s="8"/>
      <c r="IL507" s="8"/>
      <c r="IM507" s="8"/>
      <c r="IN507" s="8"/>
      <c r="IO507" s="8"/>
      <c r="IP507" s="8"/>
      <c r="IQ507" s="8"/>
      <c r="IR507" s="8"/>
      <c r="IS507" s="8"/>
      <c r="IT507" s="8"/>
      <c r="IU507" s="8"/>
      <c r="IV507" s="8"/>
    </row>
    <row r="508" ht="12.75" customHeight="1">
      <c r="A508" s="8"/>
      <c r="HT508" s="8"/>
      <c r="HU508" s="8"/>
      <c r="HV508" s="8"/>
      <c r="HW508" s="8"/>
      <c r="HX508" s="8"/>
      <c r="HY508" s="8"/>
      <c r="HZ508" s="8"/>
      <c r="IA508" s="8"/>
      <c r="IB508" s="8"/>
      <c r="IC508" s="8"/>
      <c r="ID508" s="8"/>
      <c r="IE508" s="8"/>
      <c r="IF508" s="8"/>
      <c r="IG508" s="8"/>
      <c r="IH508" s="8"/>
      <c r="II508" s="8"/>
      <c r="IJ508" s="8"/>
      <c r="IK508" s="8"/>
      <c r="IL508" s="8"/>
      <c r="IM508" s="8"/>
      <c r="IN508" s="8"/>
      <c r="IO508" s="8"/>
      <c r="IP508" s="8"/>
      <c r="IQ508" s="8"/>
      <c r="IR508" s="8"/>
      <c r="IS508" s="8"/>
      <c r="IT508" s="8"/>
      <c r="IU508" s="8"/>
      <c r="IV508" s="8"/>
    </row>
    <row r="509" ht="12.75" customHeight="1">
      <c r="A509" s="8"/>
      <c r="HT509" s="8"/>
      <c r="HU509" s="8"/>
      <c r="HV509" s="8"/>
      <c r="HW509" s="8"/>
      <c r="HX509" s="8"/>
      <c r="HY509" s="8"/>
      <c r="HZ509" s="8"/>
      <c r="IA509" s="8"/>
      <c r="IB509" s="8"/>
      <c r="IC509" s="8"/>
      <c r="ID509" s="8"/>
      <c r="IE509" s="8"/>
      <c r="IF509" s="8"/>
      <c r="IG509" s="8"/>
      <c r="IH509" s="8"/>
      <c r="II509" s="8"/>
      <c r="IJ509" s="8"/>
      <c r="IK509" s="8"/>
      <c r="IL509" s="8"/>
      <c r="IM509" s="8"/>
      <c r="IN509" s="8"/>
      <c r="IO509" s="8"/>
      <c r="IP509" s="8"/>
      <c r="IQ509" s="8"/>
      <c r="IR509" s="8"/>
      <c r="IS509" s="8"/>
      <c r="IT509" s="8"/>
      <c r="IU509" s="8"/>
      <c r="IV509" s="8"/>
    </row>
    <row r="510" ht="12.75" customHeight="1">
      <c r="A510" s="8"/>
      <c r="HT510" s="8"/>
      <c r="HU510" s="8"/>
      <c r="HV510" s="8"/>
      <c r="HW510" s="8"/>
      <c r="HX510" s="8"/>
      <c r="HY510" s="8"/>
      <c r="HZ510" s="8"/>
      <c r="IA510" s="8"/>
      <c r="IB510" s="8"/>
      <c r="IC510" s="8"/>
      <c r="ID510" s="8"/>
      <c r="IE510" s="8"/>
      <c r="IF510" s="8"/>
      <c r="IG510" s="8"/>
      <c r="IH510" s="8"/>
      <c r="II510" s="8"/>
      <c r="IJ510" s="8"/>
      <c r="IK510" s="8"/>
      <c r="IL510" s="8"/>
      <c r="IM510" s="8"/>
      <c r="IN510" s="8"/>
      <c r="IO510" s="8"/>
      <c r="IP510" s="8"/>
      <c r="IQ510" s="8"/>
      <c r="IR510" s="8"/>
      <c r="IS510" s="8"/>
      <c r="IT510" s="8"/>
      <c r="IU510" s="8"/>
      <c r="IV510" s="8"/>
    </row>
    <row r="511" ht="12.75" customHeight="1">
      <c r="A511" s="8"/>
      <c r="HT511" s="8"/>
      <c r="HU511" s="8"/>
      <c r="HV511" s="8"/>
      <c r="HW511" s="8"/>
      <c r="HX511" s="8"/>
      <c r="HY511" s="8"/>
      <c r="HZ511" s="8"/>
      <c r="IA511" s="8"/>
      <c r="IB511" s="8"/>
      <c r="IC511" s="8"/>
      <c r="ID511" s="8"/>
      <c r="IE511" s="8"/>
      <c r="IF511" s="8"/>
      <c r="IG511" s="8"/>
      <c r="IH511" s="8"/>
      <c r="II511" s="8"/>
      <c r="IJ511" s="8"/>
      <c r="IK511" s="8"/>
      <c r="IL511" s="8"/>
      <c r="IM511" s="8"/>
      <c r="IN511" s="8"/>
      <c r="IO511" s="8"/>
      <c r="IP511" s="8"/>
      <c r="IQ511" s="8"/>
      <c r="IR511" s="8"/>
      <c r="IS511" s="8"/>
      <c r="IT511" s="8"/>
      <c r="IU511" s="8"/>
      <c r="IV511" s="8"/>
    </row>
    <row r="512" ht="12.75" customHeight="1">
      <c r="A512" s="8"/>
      <c r="HT512" s="8"/>
      <c r="HU512" s="8"/>
      <c r="HV512" s="8"/>
      <c r="HW512" s="8"/>
      <c r="HX512" s="8"/>
      <c r="HY512" s="8"/>
      <c r="HZ512" s="8"/>
      <c r="IA512" s="8"/>
      <c r="IB512" s="8"/>
      <c r="IC512" s="8"/>
      <c r="ID512" s="8"/>
      <c r="IE512" s="8"/>
      <c r="IF512" s="8"/>
      <c r="IG512" s="8"/>
      <c r="IH512" s="8"/>
      <c r="II512" s="8"/>
      <c r="IJ512" s="8"/>
      <c r="IK512" s="8"/>
      <c r="IL512" s="8"/>
      <c r="IM512" s="8"/>
      <c r="IN512" s="8"/>
      <c r="IO512" s="8"/>
      <c r="IP512" s="8"/>
      <c r="IQ512" s="8"/>
      <c r="IR512" s="8"/>
      <c r="IS512" s="8"/>
      <c r="IT512" s="8"/>
      <c r="IU512" s="8"/>
      <c r="IV512" s="8"/>
    </row>
    <row r="513" ht="12.75" customHeight="1">
      <c r="A513" s="8"/>
      <c r="HT513" s="8"/>
      <c r="HU513" s="8"/>
      <c r="HV513" s="8"/>
      <c r="HW513" s="8"/>
      <c r="HX513" s="8"/>
      <c r="HY513" s="8"/>
      <c r="HZ513" s="8"/>
      <c r="IA513" s="8"/>
      <c r="IB513" s="8"/>
      <c r="IC513" s="8"/>
      <c r="ID513" s="8"/>
      <c r="IE513" s="8"/>
      <c r="IF513" s="8"/>
      <c r="IG513" s="8"/>
      <c r="IH513" s="8"/>
      <c r="II513" s="8"/>
      <c r="IJ513" s="8"/>
      <c r="IK513" s="8"/>
      <c r="IL513" s="8"/>
      <c r="IM513" s="8"/>
      <c r="IN513" s="8"/>
      <c r="IO513" s="8"/>
      <c r="IP513" s="8"/>
      <c r="IQ513" s="8"/>
      <c r="IR513" s="8"/>
      <c r="IS513" s="8"/>
      <c r="IT513" s="8"/>
      <c r="IU513" s="8"/>
      <c r="IV513" s="8"/>
    </row>
    <row r="514" ht="12.75" customHeight="1">
      <c r="A514" s="8"/>
      <c r="HT514" s="8"/>
      <c r="HU514" s="8"/>
      <c r="HV514" s="8"/>
      <c r="HW514" s="8"/>
      <c r="HX514" s="8"/>
      <c r="HY514" s="8"/>
      <c r="HZ514" s="8"/>
      <c r="IA514" s="8"/>
      <c r="IB514" s="8"/>
      <c r="IC514" s="8"/>
      <c r="ID514" s="8"/>
      <c r="IE514" s="8"/>
      <c r="IF514" s="8"/>
      <c r="IG514" s="8"/>
      <c r="IH514" s="8"/>
      <c r="II514" s="8"/>
      <c r="IJ514" s="8"/>
      <c r="IK514" s="8"/>
      <c r="IL514" s="8"/>
      <c r="IM514" s="8"/>
      <c r="IN514" s="8"/>
      <c r="IO514" s="8"/>
      <c r="IP514" s="8"/>
      <c r="IQ514" s="8"/>
      <c r="IR514" s="8"/>
      <c r="IS514" s="8"/>
      <c r="IT514" s="8"/>
      <c r="IU514" s="8"/>
      <c r="IV514" s="8"/>
    </row>
    <row r="515" ht="12.75" customHeight="1">
      <c r="A515" s="8"/>
      <c r="HT515" s="8"/>
      <c r="HU515" s="8"/>
      <c r="HV515" s="8"/>
      <c r="HW515" s="8"/>
      <c r="HX515" s="8"/>
      <c r="HY515" s="8"/>
      <c r="HZ515" s="8"/>
      <c r="IA515" s="8"/>
      <c r="IB515" s="8"/>
      <c r="IC515" s="8"/>
      <c r="ID515" s="8"/>
      <c r="IE515" s="8"/>
      <c r="IF515" s="8"/>
      <c r="IG515" s="8"/>
      <c r="IH515" s="8"/>
      <c r="II515" s="8"/>
      <c r="IJ515" s="8"/>
      <c r="IK515" s="8"/>
      <c r="IL515" s="8"/>
      <c r="IM515" s="8"/>
      <c r="IN515" s="8"/>
      <c r="IO515" s="8"/>
      <c r="IP515" s="8"/>
      <c r="IQ515" s="8"/>
      <c r="IR515" s="8"/>
      <c r="IS515" s="8"/>
      <c r="IT515" s="8"/>
      <c r="IU515" s="8"/>
      <c r="IV515" s="8"/>
    </row>
    <row r="516" ht="12.75" customHeight="1">
      <c r="A516" s="8"/>
      <c r="HT516" s="8"/>
      <c r="HU516" s="8"/>
      <c r="HV516" s="8"/>
      <c r="HW516" s="8"/>
      <c r="HX516" s="8"/>
      <c r="HY516" s="8"/>
      <c r="HZ516" s="8"/>
      <c r="IA516" s="8"/>
      <c r="IB516" s="8"/>
      <c r="IC516" s="8"/>
      <c r="ID516" s="8"/>
      <c r="IE516" s="8"/>
      <c r="IF516" s="8"/>
      <c r="IG516" s="8"/>
      <c r="IH516" s="8"/>
      <c r="II516" s="8"/>
      <c r="IJ516" s="8"/>
      <c r="IK516" s="8"/>
      <c r="IL516" s="8"/>
      <c r="IM516" s="8"/>
      <c r="IN516" s="8"/>
      <c r="IO516" s="8"/>
      <c r="IP516" s="8"/>
      <c r="IQ516" s="8"/>
      <c r="IR516" s="8"/>
      <c r="IS516" s="8"/>
      <c r="IT516" s="8"/>
      <c r="IU516" s="8"/>
      <c r="IV516" s="8"/>
    </row>
    <row r="517" ht="12.75" customHeight="1">
      <c r="A517" s="8"/>
      <c r="HT517" s="8"/>
      <c r="HU517" s="8"/>
      <c r="HV517" s="8"/>
      <c r="HW517" s="8"/>
      <c r="HX517" s="8"/>
      <c r="HY517" s="8"/>
      <c r="HZ517" s="8"/>
      <c r="IA517" s="8"/>
      <c r="IB517" s="8"/>
      <c r="IC517" s="8"/>
      <c r="ID517" s="8"/>
      <c r="IE517" s="8"/>
      <c r="IF517" s="8"/>
      <c r="IG517" s="8"/>
      <c r="IH517" s="8"/>
      <c r="II517" s="8"/>
      <c r="IJ517" s="8"/>
      <c r="IK517" s="8"/>
      <c r="IL517" s="8"/>
      <c r="IM517" s="8"/>
      <c r="IN517" s="8"/>
      <c r="IO517" s="8"/>
      <c r="IP517" s="8"/>
      <c r="IQ517" s="8"/>
      <c r="IR517" s="8"/>
      <c r="IS517" s="8"/>
      <c r="IT517" s="8"/>
      <c r="IU517" s="8"/>
      <c r="IV517" s="8"/>
    </row>
    <row r="518" ht="12.75" customHeight="1">
      <c r="A518" s="8"/>
      <c r="HT518" s="8"/>
      <c r="HU518" s="8"/>
      <c r="HV518" s="8"/>
      <c r="HW518" s="8"/>
      <c r="HX518" s="8"/>
      <c r="HY518" s="8"/>
      <c r="HZ518" s="8"/>
      <c r="IA518" s="8"/>
      <c r="IB518" s="8"/>
      <c r="IC518" s="8"/>
      <c r="ID518" s="8"/>
      <c r="IE518" s="8"/>
      <c r="IF518" s="8"/>
      <c r="IG518" s="8"/>
      <c r="IH518" s="8"/>
      <c r="II518" s="8"/>
      <c r="IJ518" s="8"/>
      <c r="IK518" s="8"/>
      <c r="IL518" s="8"/>
      <c r="IM518" s="8"/>
      <c r="IN518" s="8"/>
      <c r="IO518" s="8"/>
      <c r="IP518" s="8"/>
      <c r="IQ518" s="8"/>
      <c r="IR518" s="8"/>
      <c r="IS518" s="8"/>
      <c r="IT518" s="8"/>
      <c r="IU518" s="8"/>
      <c r="IV518" s="8"/>
    </row>
    <row r="519" ht="12.75" customHeight="1">
      <c r="A519" s="8"/>
      <c r="HT519" s="8"/>
      <c r="HU519" s="8"/>
      <c r="HV519" s="8"/>
      <c r="HW519" s="8"/>
      <c r="HX519" s="8"/>
      <c r="HY519" s="8"/>
      <c r="HZ519" s="8"/>
      <c r="IA519" s="8"/>
      <c r="IB519" s="8"/>
      <c r="IC519" s="8"/>
      <c r="ID519" s="8"/>
      <c r="IE519" s="8"/>
      <c r="IF519" s="8"/>
      <c r="IG519" s="8"/>
      <c r="IH519" s="8"/>
      <c r="II519" s="8"/>
      <c r="IJ519" s="8"/>
      <c r="IK519" s="8"/>
      <c r="IL519" s="8"/>
      <c r="IM519" s="8"/>
      <c r="IN519" s="8"/>
      <c r="IO519" s="8"/>
      <c r="IP519" s="8"/>
      <c r="IQ519" s="8"/>
      <c r="IR519" s="8"/>
      <c r="IS519" s="8"/>
      <c r="IT519" s="8"/>
      <c r="IU519" s="8"/>
      <c r="IV519" s="8"/>
    </row>
    <row r="520" ht="12.75" customHeight="1">
      <c r="A520" s="8"/>
      <c r="HT520" s="8"/>
      <c r="HU520" s="8"/>
      <c r="HV520" s="8"/>
      <c r="HW520" s="8"/>
      <c r="HX520" s="8"/>
      <c r="HY520" s="8"/>
      <c r="HZ520" s="8"/>
      <c r="IA520" s="8"/>
      <c r="IB520" s="8"/>
      <c r="IC520" s="8"/>
      <c r="ID520" s="8"/>
      <c r="IE520" s="8"/>
      <c r="IF520" s="8"/>
      <c r="IG520" s="8"/>
      <c r="IH520" s="8"/>
      <c r="II520" s="8"/>
      <c r="IJ520" s="8"/>
      <c r="IK520" s="8"/>
      <c r="IL520" s="8"/>
      <c r="IM520" s="8"/>
      <c r="IN520" s="8"/>
      <c r="IO520" s="8"/>
      <c r="IP520" s="8"/>
      <c r="IQ520" s="8"/>
      <c r="IR520" s="8"/>
      <c r="IS520" s="8"/>
      <c r="IT520" s="8"/>
      <c r="IU520" s="8"/>
      <c r="IV520" s="8"/>
    </row>
    <row r="521" ht="12.75" customHeight="1">
      <c r="A521" s="8"/>
      <c r="HT521" s="8"/>
      <c r="HU521" s="8"/>
      <c r="HV521" s="8"/>
      <c r="HW521" s="8"/>
      <c r="HX521" s="8"/>
      <c r="HY521" s="8"/>
      <c r="HZ521" s="8"/>
      <c r="IA521" s="8"/>
      <c r="IB521" s="8"/>
      <c r="IC521" s="8"/>
      <c r="ID521" s="8"/>
      <c r="IE521" s="8"/>
      <c r="IF521" s="8"/>
      <c r="IG521" s="8"/>
      <c r="IH521" s="8"/>
      <c r="II521" s="8"/>
      <c r="IJ521" s="8"/>
      <c r="IK521" s="8"/>
      <c r="IL521" s="8"/>
      <c r="IM521" s="8"/>
      <c r="IN521" s="8"/>
      <c r="IO521" s="8"/>
      <c r="IP521" s="8"/>
      <c r="IQ521" s="8"/>
      <c r="IR521" s="8"/>
      <c r="IS521" s="8"/>
      <c r="IT521" s="8"/>
      <c r="IU521" s="8"/>
      <c r="IV521" s="8"/>
    </row>
    <row r="522" ht="12.75" customHeight="1">
      <c r="A522" s="8"/>
      <c r="HT522" s="8"/>
      <c r="HU522" s="8"/>
      <c r="HV522" s="8"/>
      <c r="HW522" s="8"/>
      <c r="HX522" s="8"/>
      <c r="HY522" s="8"/>
      <c r="HZ522" s="8"/>
      <c r="IA522" s="8"/>
      <c r="IB522" s="8"/>
      <c r="IC522" s="8"/>
      <c r="ID522" s="8"/>
      <c r="IE522" s="8"/>
      <c r="IF522" s="8"/>
      <c r="IG522" s="8"/>
      <c r="IH522" s="8"/>
      <c r="II522" s="8"/>
      <c r="IJ522" s="8"/>
      <c r="IK522" s="8"/>
      <c r="IL522" s="8"/>
      <c r="IM522" s="8"/>
      <c r="IN522" s="8"/>
      <c r="IO522" s="8"/>
      <c r="IP522" s="8"/>
      <c r="IQ522" s="8"/>
      <c r="IR522" s="8"/>
      <c r="IS522" s="8"/>
      <c r="IT522" s="8"/>
      <c r="IU522" s="8"/>
      <c r="IV522" s="8"/>
    </row>
    <row r="523" ht="12.75" customHeight="1">
      <c r="A523" s="8"/>
      <c r="HT523" s="8"/>
      <c r="HU523" s="8"/>
      <c r="HV523" s="8"/>
      <c r="HW523" s="8"/>
      <c r="HX523" s="8"/>
      <c r="HY523" s="8"/>
      <c r="HZ523" s="8"/>
      <c r="IA523" s="8"/>
      <c r="IB523" s="8"/>
      <c r="IC523" s="8"/>
      <c r="ID523" s="8"/>
      <c r="IE523" s="8"/>
      <c r="IF523" s="8"/>
      <c r="IG523" s="8"/>
      <c r="IH523" s="8"/>
      <c r="II523" s="8"/>
      <c r="IJ523" s="8"/>
      <c r="IK523" s="8"/>
      <c r="IL523" s="8"/>
      <c r="IM523" s="8"/>
      <c r="IN523" s="8"/>
      <c r="IO523" s="8"/>
      <c r="IP523" s="8"/>
      <c r="IQ523" s="8"/>
      <c r="IR523" s="8"/>
      <c r="IS523" s="8"/>
      <c r="IT523" s="8"/>
      <c r="IU523" s="8"/>
      <c r="IV523" s="8"/>
    </row>
    <row r="524" ht="12.75" customHeight="1">
      <c r="A524" s="8"/>
      <c r="HT524" s="8"/>
      <c r="HU524" s="8"/>
      <c r="HV524" s="8"/>
      <c r="HW524" s="8"/>
      <c r="HX524" s="8"/>
      <c r="HY524" s="8"/>
      <c r="HZ524" s="8"/>
      <c r="IA524" s="8"/>
      <c r="IB524" s="8"/>
      <c r="IC524" s="8"/>
      <c r="ID524" s="8"/>
      <c r="IE524" s="8"/>
      <c r="IF524" s="8"/>
      <c r="IG524" s="8"/>
      <c r="IH524" s="8"/>
      <c r="II524" s="8"/>
      <c r="IJ524" s="8"/>
      <c r="IK524" s="8"/>
      <c r="IL524" s="8"/>
      <c r="IM524" s="8"/>
      <c r="IN524" s="8"/>
      <c r="IO524" s="8"/>
      <c r="IP524" s="8"/>
      <c r="IQ524" s="8"/>
      <c r="IR524" s="8"/>
      <c r="IS524" s="8"/>
      <c r="IT524" s="8"/>
      <c r="IU524" s="8"/>
      <c r="IV524" s="8"/>
    </row>
    <row r="525" ht="12.75" customHeight="1">
      <c r="A525" s="8"/>
      <c r="HT525" s="8"/>
      <c r="HU525" s="8"/>
      <c r="HV525" s="8"/>
      <c r="HW525" s="8"/>
      <c r="HX525" s="8"/>
      <c r="HY525" s="8"/>
      <c r="HZ525" s="8"/>
      <c r="IA525" s="8"/>
      <c r="IB525" s="8"/>
      <c r="IC525" s="8"/>
      <c r="ID525" s="8"/>
      <c r="IE525" s="8"/>
      <c r="IF525" s="8"/>
      <c r="IG525" s="8"/>
      <c r="IH525" s="8"/>
      <c r="II525" s="8"/>
      <c r="IJ525" s="8"/>
      <c r="IK525" s="8"/>
      <c r="IL525" s="8"/>
      <c r="IM525" s="8"/>
      <c r="IN525" s="8"/>
      <c r="IO525" s="8"/>
      <c r="IP525" s="8"/>
      <c r="IQ525" s="8"/>
      <c r="IR525" s="8"/>
      <c r="IS525" s="8"/>
      <c r="IT525" s="8"/>
      <c r="IU525" s="8"/>
      <c r="IV525" s="8"/>
    </row>
    <row r="526" ht="12.75" customHeight="1">
      <c r="A526" s="8"/>
      <c r="HT526" s="8"/>
      <c r="HU526" s="8"/>
      <c r="HV526" s="8"/>
      <c r="HW526" s="8"/>
      <c r="HX526" s="8"/>
      <c r="HY526" s="8"/>
      <c r="HZ526" s="8"/>
      <c r="IA526" s="8"/>
      <c r="IB526" s="8"/>
      <c r="IC526" s="8"/>
      <c r="ID526" s="8"/>
      <c r="IE526" s="8"/>
      <c r="IF526" s="8"/>
      <c r="IG526" s="8"/>
      <c r="IH526" s="8"/>
      <c r="II526" s="8"/>
      <c r="IJ526" s="8"/>
      <c r="IK526" s="8"/>
      <c r="IL526" s="8"/>
      <c r="IM526" s="8"/>
      <c r="IN526" s="8"/>
      <c r="IO526" s="8"/>
      <c r="IP526" s="8"/>
      <c r="IQ526" s="8"/>
      <c r="IR526" s="8"/>
      <c r="IS526" s="8"/>
      <c r="IT526" s="8"/>
      <c r="IU526" s="8"/>
      <c r="IV526" s="8"/>
    </row>
    <row r="527" ht="12.75" customHeight="1">
      <c r="A527" s="8"/>
      <c r="HT527" s="8"/>
      <c r="HU527" s="8"/>
      <c r="HV527" s="8"/>
      <c r="HW527" s="8"/>
      <c r="HX527" s="8"/>
      <c r="HY527" s="8"/>
      <c r="HZ527" s="8"/>
      <c r="IA527" s="8"/>
      <c r="IB527" s="8"/>
      <c r="IC527" s="8"/>
      <c r="ID527" s="8"/>
      <c r="IE527" s="8"/>
      <c r="IF527" s="8"/>
      <c r="IG527" s="8"/>
      <c r="IH527" s="8"/>
      <c r="II527" s="8"/>
      <c r="IJ527" s="8"/>
      <c r="IK527" s="8"/>
      <c r="IL527" s="8"/>
      <c r="IM527" s="8"/>
      <c r="IN527" s="8"/>
      <c r="IO527" s="8"/>
      <c r="IP527" s="8"/>
      <c r="IQ527" s="8"/>
      <c r="IR527" s="8"/>
      <c r="IS527" s="8"/>
      <c r="IT527" s="8"/>
      <c r="IU527" s="8"/>
      <c r="IV527" s="8"/>
    </row>
    <row r="528" ht="12.75" customHeight="1">
      <c r="A528" s="8"/>
      <c r="HT528" s="8"/>
      <c r="HU528" s="8"/>
      <c r="HV528" s="8"/>
      <c r="HW528" s="8"/>
      <c r="HX528" s="8"/>
      <c r="HY528" s="8"/>
      <c r="HZ528" s="8"/>
      <c r="IA528" s="8"/>
      <c r="IB528" s="8"/>
      <c r="IC528" s="8"/>
      <c r="ID528" s="8"/>
      <c r="IE528" s="8"/>
      <c r="IF528" s="8"/>
      <c r="IG528" s="8"/>
      <c r="IH528" s="8"/>
      <c r="II528" s="8"/>
      <c r="IJ528" s="8"/>
      <c r="IK528" s="8"/>
      <c r="IL528" s="8"/>
      <c r="IM528" s="8"/>
      <c r="IN528" s="8"/>
      <c r="IO528" s="8"/>
      <c r="IP528" s="8"/>
      <c r="IQ528" s="8"/>
      <c r="IR528" s="8"/>
      <c r="IS528" s="8"/>
      <c r="IT528" s="8"/>
      <c r="IU528" s="8"/>
      <c r="IV528" s="8"/>
    </row>
    <row r="529" ht="12.75" customHeight="1">
      <c r="A529" s="8"/>
      <c r="HT529" s="8"/>
      <c r="HU529" s="8"/>
      <c r="HV529" s="8"/>
      <c r="HW529" s="8"/>
      <c r="HX529" s="8"/>
      <c r="HY529" s="8"/>
      <c r="HZ529" s="8"/>
      <c r="IA529" s="8"/>
      <c r="IB529" s="8"/>
      <c r="IC529" s="8"/>
      <c r="ID529" s="8"/>
      <c r="IE529" s="8"/>
      <c r="IF529" s="8"/>
      <c r="IG529" s="8"/>
      <c r="IH529" s="8"/>
      <c r="II529" s="8"/>
      <c r="IJ529" s="8"/>
      <c r="IK529" s="8"/>
      <c r="IL529" s="8"/>
      <c r="IM529" s="8"/>
      <c r="IN529" s="8"/>
      <c r="IO529" s="8"/>
      <c r="IP529" s="8"/>
      <c r="IQ529" s="8"/>
      <c r="IR529" s="8"/>
      <c r="IS529" s="8"/>
      <c r="IT529" s="8"/>
      <c r="IU529" s="8"/>
      <c r="IV529" s="8"/>
    </row>
    <row r="530" ht="12.75" customHeight="1">
      <c r="A530" s="8"/>
      <c r="HT530" s="8"/>
      <c r="HU530" s="8"/>
      <c r="HV530" s="8"/>
      <c r="HW530" s="8"/>
      <c r="HX530" s="8"/>
      <c r="HY530" s="8"/>
      <c r="HZ530" s="8"/>
      <c r="IA530" s="8"/>
      <c r="IB530" s="8"/>
      <c r="IC530" s="8"/>
      <c r="ID530" s="8"/>
      <c r="IE530" s="8"/>
      <c r="IF530" s="8"/>
      <c r="IG530" s="8"/>
      <c r="IH530" s="8"/>
      <c r="II530" s="8"/>
      <c r="IJ530" s="8"/>
      <c r="IK530" s="8"/>
      <c r="IL530" s="8"/>
      <c r="IM530" s="8"/>
      <c r="IN530" s="8"/>
      <c r="IO530" s="8"/>
      <c r="IP530" s="8"/>
      <c r="IQ530" s="8"/>
      <c r="IR530" s="8"/>
      <c r="IS530" s="8"/>
      <c r="IT530" s="8"/>
      <c r="IU530" s="8"/>
      <c r="IV530" s="8"/>
    </row>
    <row r="531" ht="12.75" customHeight="1">
      <c r="A531" s="8"/>
      <c r="HT531" s="8"/>
      <c r="HU531" s="8"/>
      <c r="HV531" s="8"/>
      <c r="HW531" s="8"/>
      <c r="HX531" s="8"/>
      <c r="HY531" s="8"/>
      <c r="HZ531" s="8"/>
      <c r="IA531" s="8"/>
      <c r="IB531" s="8"/>
      <c r="IC531" s="8"/>
      <c r="ID531" s="8"/>
      <c r="IE531" s="8"/>
      <c r="IF531" s="8"/>
      <c r="IG531" s="8"/>
      <c r="IH531" s="8"/>
      <c r="II531" s="8"/>
      <c r="IJ531" s="8"/>
      <c r="IK531" s="8"/>
      <c r="IL531" s="8"/>
      <c r="IM531" s="8"/>
      <c r="IN531" s="8"/>
      <c r="IO531" s="8"/>
      <c r="IP531" s="8"/>
      <c r="IQ531" s="8"/>
      <c r="IR531" s="8"/>
      <c r="IS531" s="8"/>
      <c r="IT531" s="8"/>
      <c r="IU531" s="8"/>
      <c r="IV531" s="8"/>
    </row>
    <row r="532" ht="12.75" customHeight="1">
      <c r="A532" s="8"/>
      <c r="HT532" s="8"/>
      <c r="HU532" s="8"/>
      <c r="HV532" s="8"/>
      <c r="HW532" s="8"/>
      <c r="HX532" s="8"/>
      <c r="HY532" s="8"/>
      <c r="HZ532" s="8"/>
      <c r="IA532" s="8"/>
      <c r="IB532" s="8"/>
      <c r="IC532" s="8"/>
      <c r="ID532" s="8"/>
      <c r="IE532" s="8"/>
      <c r="IF532" s="8"/>
      <c r="IG532" s="8"/>
      <c r="IH532" s="8"/>
      <c r="II532" s="8"/>
      <c r="IJ532" s="8"/>
      <c r="IK532" s="8"/>
      <c r="IL532" s="8"/>
      <c r="IM532" s="8"/>
      <c r="IN532" s="8"/>
      <c r="IO532" s="8"/>
      <c r="IP532" s="8"/>
      <c r="IQ532" s="8"/>
      <c r="IR532" s="8"/>
      <c r="IS532" s="8"/>
      <c r="IT532" s="8"/>
      <c r="IU532" s="8"/>
      <c r="IV532" s="8"/>
    </row>
    <row r="533" ht="12.75" customHeight="1">
      <c r="A533" s="8"/>
      <c r="HT533" s="8"/>
      <c r="HU533" s="8"/>
      <c r="HV533" s="8"/>
      <c r="HW533" s="8"/>
      <c r="HX533" s="8"/>
      <c r="HY533" s="8"/>
      <c r="HZ533" s="8"/>
      <c r="IA533" s="8"/>
      <c r="IB533" s="8"/>
      <c r="IC533" s="8"/>
      <c r="ID533" s="8"/>
      <c r="IE533" s="8"/>
      <c r="IF533" s="8"/>
      <c r="IG533" s="8"/>
      <c r="IH533" s="8"/>
      <c r="II533" s="8"/>
      <c r="IJ533" s="8"/>
      <c r="IK533" s="8"/>
      <c r="IL533" s="8"/>
      <c r="IM533" s="8"/>
      <c r="IN533" s="8"/>
      <c r="IO533" s="8"/>
      <c r="IP533" s="8"/>
      <c r="IQ533" s="8"/>
      <c r="IR533" s="8"/>
      <c r="IS533" s="8"/>
      <c r="IT533" s="8"/>
      <c r="IU533" s="8"/>
      <c r="IV533" s="8"/>
    </row>
    <row r="534" ht="12.75" customHeight="1">
      <c r="A534" s="8"/>
      <c r="HT534" s="8"/>
      <c r="HU534" s="8"/>
      <c r="HV534" s="8"/>
      <c r="HW534" s="8"/>
      <c r="HX534" s="8"/>
      <c r="HY534" s="8"/>
      <c r="HZ534" s="8"/>
      <c r="IA534" s="8"/>
      <c r="IB534" s="8"/>
      <c r="IC534" s="8"/>
      <c r="ID534" s="8"/>
      <c r="IE534" s="8"/>
      <c r="IF534" s="8"/>
      <c r="IG534" s="8"/>
      <c r="IH534" s="8"/>
      <c r="II534" s="8"/>
      <c r="IJ534" s="8"/>
      <c r="IK534" s="8"/>
      <c r="IL534" s="8"/>
      <c r="IM534" s="8"/>
      <c r="IN534" s="8"/>
      <c r="IO534" s="8"/>
      <c r="IP534" s="8"/>
      <c r="IQ534" s="8"/>
      <c r="IR534" s="8"/>
      <c r="IS534" s="8"/>
      <c r="IT534" s="8"/>
      <c r="IU534" s="8"/>
      <c r="IV534" s="8"/>
    </row>
    <row r="535" ht="12.75" customHeight="1">
      <c r="A535" s="8"/>
      <c r="HT535" s="8"/>
      <c r="HU535" s="8"/>
      <c r="HV535" s="8"/>
      <c r="HW535" s="8"/>
      <c r="HX535" s="8"/>
      <c r="HY535" s="8"/>
      <c r="HZ535" s="8"/>
      <c r="IA535" s="8"/>
      <c r="IB535" s="8"/>
      <c r="IC535" s="8"/>
      <c r="ID535" s="8"/>
      <c r="IE535" s="8"/>
      <c r="IF535" s="8"/>
      <c r="IG535" s="8"/>
      <c r="IH535" s="8"/>
      <c r="II535" s="8"/>
      <c r="IJ535" s="8"/>
      <c r="IK535" s="8"/>
      <c r="IL535" s="8"/>
      <c r="IM535" s="8"/>
      <c r="IN535" s="8"/>
      <c r="IO535" s="8"/>
      <c r="IP535" s="8"/>
      <c r="IQ535" s="8"/>
      <c r="IR535" s="8"/>
      <c r="IS535" s="8"/>
      <c r="IT535" s="8"/>
      <c r="IU535" s="8"/>
      <c r="IV535" s="8"/>
    </row>
    <row r="536" ht="12.75" customHeight="1">
      <c r="A536" s="8"/>
      <c r="HT536" s="8"/>
      <c r="HU536" s="8"/>
      <c r="HV536" s="8"/>
      <c r="HW536" s="8"/>
      <c r="HX536" s="8"/>
      <c r="HY536" s="8"/>
      <c r="HZ536" s="8"/>
      <c r="IA536" s="8"/>
      <c r="IB536" s="8"/>
      <c r="IC536" s="8"/>
      <c r="ID536" s="8"/>
      <c r="IE536" s="8"/>
      <c r="IF536" s="8"/>
      <c r="IG536" s="8"/>
      <c r="IH536" s="8"/>
      <c r="II536" s="8"/>
      <c r="IJ536" s="8"/>
      <c r="IK536" s="8"/>
      <c r="IL536" s="8"/>
      <c r="IM536" s="8"/>
      <c r="IN536" s="8"/>
      <c r="IO536" s="8"/>
      <c r="IP536" s="8"/>
      <c r="IQ536" s="8"/>
      <c r="IR536" s="8"/>
      <c r="IS536" s="8"/>
      <c r="IT536" s="8"/>
      <c r="IU536" s="8"/>
      <c r="IV536" s="8"/>
    </row>
    <row r="537" ht="12.75" customHeight="1">
      <c r="A537" s="8"/>
      <c r="HT537" s="8"/>
      <c r="HU537" s="8"/>
      <c r="HV537" s="8"/>
      <c r="HW537" s="8"/>
      <c r="HX537" s="8"/>
      <c r="HY537" s="8"/>
      <c r="HZ537" s="8"/>
      <c r="IA537" s="8"/>
      <c r="IB537" s="8"/>
      <c r="IC537" s="8"/>
      <c r="ID537" s="8"/>
      <c r="IE537" s="8"/>
      <c r="IF537" s="8"/>
      <c r="IG537" s="8"/>
      <c r="IH537" s="8"/>
      <c r="II537" s="8"/>
      <c r="IJ537" s="8"/>
      <c r="IK537" s="8"/>
      <c r="IL537" s="8"/>
      <c r="IM537" s="8"/>
      <c r="IN537" s="8"/>
      <c r="IO537" s="8"/>
      <c r="IP537" s="8"/>
      <c r="IQ537" s="8"/>
      <c r="IR537" s="8"/>
      <c r="IS537" s="8"/>
      <c r="IT537" s="8"/>
      <c r="IU537" s="8"/>
      <c r="IV537" s="8"/>
    </row>
    <row r="538" ht="12.75" customHeight="1">
      <c r="A538" s="8"/>
      <c r="HT538" s="8"/>
      <c r="HU538" s="8"/>
      <c r="HV538" s="8"/>
      <c r="HW538" s="8"/>
      <c r="HX538" s="8"/>
      <c r="HY538" s="8"/>
      <c r="HZ538" s="8"/>
      <c r="IA538" s="8"/>
      <c r="IB538" s="8"/>
      <c r="IC538" s="8"/>
      <c r="ID538" s="8"/>
      <c r="IE538" s="8"/>
      <c r="IF538" s="8"/>
      <c r="IG538" s="8"/>
      <c r="IH538" s="8"/>
      <c r="II538" s="8"/>
      <c r="IJ538" s="8"/>
      <c r="IK538" s="8"/>
      <c r="IL538" s="8"/>
      <c r="IM538" s="8"/>
      <c r="IN538" s="8"/>
      <c r="IO538" s="8"/>
      <c r="IP538" s="8"/>
      <c r="IQ538" s="8"/>
      <c r="IR538" s="8"/>
      <c r="IS538" s="8"/>
      <c r="IT538" s="8"/>
      <c r="IU538" s="8"/>
      <c r="IV538" s="8"/>
    </row>
    <row r="539" ht="12.75" customHeight="1">
      <c r="A539" s="8"/>
      <c r="HT539" s="8"/>
      <c r="HU539" s="8"/>
      <c r="HV539" s="8"/>
      <c r="HW539" s="8"/>
      <c r="HX539" s="8"/>
      <c r="HY539" s="8"/>
      <c r="HZ539" s="8"/>
      <c r="IA539" s="8"/>
      <c r="IB539" s="8"/>
      <c r="IC539" s="8"/>
      <c r="ID539" s="8"/>
      <c r="IE539" s="8"/>
      <c r="IF539" s="8"/>
      <c r="IG539" s="8"/>
      <c r="IH539" s="8"/>
      <c r="II539" s="8"/>
      <c r="IJ539" s="8"/>
      <c r="IK539" s="8"/>
      <c r="IL539" s="8"/>
      <c r="IM539" s="8"/>
      <c r="IN539" s="8"/>
      <c r="IO539" s="8"/>
      <c r="IP539" s="8"/>
      <c r="IQ539" s="8"/>
      <c r="IR539" s="8"/>
      <c r="IS539" s="8"/>
      <c r="IT539" s="8"/>
      <c r="IU539" s="8"/>
      <c r="IV539" s="8"/>
    </row>
    <row r="540" ht="12.75" customHeight="1">
      <c r="A540" s="8"/>
      <c r="HT540" s="8"/>
      <c r="HU540" s="8"/>
      <c r="HV540" s="8"/>
      <c r="HW540" s="8"/>
      <c r="HX540" s="8"/>
      <c r="HY540" s="8"/>
      <c r="HZ540" s="8"/>
      <c r="IA540" s="8"/>
      <c r="IB540" s="8"/>
      <c r="IC540" s="8"/>
      <c r="ID540" s="8"/>
      <c r="IE540" s="8"/>
      <c r="IF540" s="8"/>
      <c r="IG540" s="8"/>
      <c r="IH540" s="8"/>
      <c r="II540" s="8"/>
      <c r="IJ540" s="8"/>
      <c r="IK540" s="8"/>
      <c r="IL540" s="8"/>
      <c r="IM540" s="8"/>
      <c r="IN540" s="8"/>
      <c r="IO540" s="8"/>
      <c r="IP540" s="8"/>
      <c r="IQ540" s="8"/>
      <c r="IR540" s="8"/>
      <c r="IS540" s="8"/>
      <c r="IT540" s="8"/>
      <c r="IU540" s="8"/>
      <c r="IV540" s="8"/>
    </row>
    <row r="541" ht="12.75" customHeight="1">
      <c r="A541" s="8"/>
      <c r="HT541" s="8"/>
      <c r="HU541" s="8"/>
      <c r="HV541" s="8"/>
      <c r="HW541" s="8"/>
      <c r="HX541" s="8"/>
      <c r="HY541" s="8"/>
      <c r="HZ541" s="8"/>
      <c r="IA541" s="8"/>
      <c r="IB541" s="8"/>
      <c r="IC541" s="8"/>
      <c r="ID541" s="8"/>
      <c r="IE541" s="8"/>
      <c r="IF541" s="8"/>
      <c r="IG541" s="8"/>
      <c r="IH541" s="8"/>
      <c r="II541" s="8"/>
      <c r="IJ541" s="8"/>
      <c r="IK541" s="8"/>
      <c r="IL541" s="8"/>
      <c r="IM541" s="8"/>
      <c r="IN541" s="8"/>
      <c r="IO541" s="8"/>
      <c r="IP541" s="8"/>
      <c r="IQ541" s="8"/>
      <c r="IR541" s="8"/>
      <c r="IS541" s="8"/>
      <c r="IT541" s="8"/>
      <c r="IU541" s="8"/>
      <c r="IV541" s="8"/>
    </row>
    <row r="542" ht="12.75" customHeight="1">
      <c r="A542" s="8"/>
      <c r="HT542" s="8"/>
      <c r="HU542" s="8"/>
      <c r="HV542" s="8"/>
      <c r="HW542" s="8"/>
      <c r="HX542" s="8"/>
      <c r="HY542" s="8"/>
      <c r="HZ542" s="8"/>
      <c r="IA542" s="8"/>
      <c r="IB542" s="8"/>
      <c r="IC542" s="8"/>
      <c r="ID542" s="8"/>
      <c r="IE542" s="8"/>
      <c r="IF542" s="8"/>
      <c r="IG542" s="8"/>
      <c r="IH542" s="8"/>
      <c r="II542" s="8"/>
      <c r="IJ542" s="8"/>
      <c r="IK542" s="8"/>
      <c r="IL542" s="8"/>
      <c r="IM542" s="8"/>
      <c r="IN542" s="8"/>
      <c r="IO542" s="8"/>
      <c r="IP542" s="8"/>
      <c r="IQ542" s="8"/>
      <c r="IR542" s="8"/>
      <c r="IS542" s="8"/>
      <c r="IT542" s="8"/>
      <c r="IU542" s="8"/>
      <c r="IV542" s="8"/>
    </row>
    <row r="543" ht="12.75" customHeight="1">
      <c r="A543" s="8"/>
      <c r="HT543" s="8"/>
      <c r="HU543" s="8"/>
      <c r="HV543" s="8"/>
      <c r="HW543" s="8"/>
      <c r="HX543" s="8"/>
      <c r="HY543" s="8"/>
      <c r="HZ543" s="8"/>
      <c r="IA543" s="8"/>
      <c r="IB543" s="8"/>
      <c r="IC543" s="8"/>
      <c r="ID543" s="8"/>
      <c r="IE543" s="8"/>
      <c r="IF543" s="8"/>
      <c r="IG543" s="8"/>
      <c r="IH543" s="8"/>
      <c r="II543" s="8"/>
      <c r="IJ543" s="8"/>
      <c r="IK543" s="8"/>
      <c r="IL543" s="8"/>
      <c r="IM543" s="8"/>
      <c r="IN543" s="8"/>
      <c r="IO543" s="8"/>
      <c r="IP543" s="8"/>
      <c r="IQ543" s="8"/>
      <c r="IR543" s="8"/>
      <c r="IS543" s="8"/>
      <c r="IT543" s="8"/>
      <c r="IU543" s="8"/>
      <c r="IV543" s="8"/>
    </row>
    <row r="544" ht="12.75" customHeight="1">
      <c r="A544" s="8"/>
      <c r="HT544" s="8"/>
      <c r="HU544" s="8"/>
      <c r="HV544" s="8"/>
      <c r="HW544" s="8"/>
      <c r="HX544" s="8"/>
      <c r="HY544" s="8"/>
      <c r="HZ544" s="8"/>
      <c r="IA544" s="8"/>
      <c r="IB544" s="8"/>
      <c r="IC544" s="8"/>
      <c r="ID544" s="8"/>
      <c r="IE544" s="8"/>
      <c r="IF544" s="8"/>
      <c r="IG544" s="8"/>
      <c r="IH544" s="8"/>
      <c r="II544" s="8"/>
      <c r="IJ544" s="8"/>
      <c r="IK544" s="8"/>
      <c r="IL544" s="8"/>
      <c r="IM544" s="8"/>
      <c r="IN544" s="8"/>
      <c r="IO544" s="8"/>
      <c r="IP544" s="8"/>
      <c r="IQ544" s="8"/>
      <c r="IR544" s="8"/>
      <c r="IS544" s="8"/>
      <c r="IT544" s="8"/>
      <c r="IU544" s="8"/>
      <c r="IV544" s="8"/>
    </row>
    <row r="545" ht="12.75" customHeight="1">
      <c r="A545" s="8"/>
      <c r="HT545" s="8"/>
      <c r="HU545" s="8"/>
      <c r="HV545" s="8"/>
      <c r="HW545" s="8"/>
      <c r="HX545" s="8"/>
      <c r="HY545" s="8"/>
      <c r="HZ545" s="8"/>
      <c r="IA545" s="8"/>
      <c r="IB545" s="8"/>
      <c r="IC545" s="8"/>
      <c r="ID545" s="8"/>
      <c r="IE545" s="8"/>
      <c r="IF545" s="8"/>
      <c r="IG545" s="8"/>
      <c r="IH545" s="8"/>
      <c r="II545" s="8"/>
      <c r="IJ545" s="8"/>
      <c r="IK545" s="8"/>
      <c r="IL545" s="8"/>
      <c r="IM545" s="8"/>
      <c r="IN545" s="8"/>
      <c r="IO545" s="8"/>
      <c r="IP545" s="8"/>
      <c r="IQ545" s="8"/>
      <c r="IR545" s="8"/>
      <c r="IS545" s="8"/>
      <c r="IT545" s="8"/>
      <c r="IU545" s="8"/>
      <c r="IV545" s="8"/>
    </row>
    <row r="546" ht="12.75" customHeight="1">
      <c r="A546" s="8"/>
      <c r="HT546" s="8"/>
      <c r="HU546" s="8"/>
      <c r="HV546" s="8"/>
      <c r="HW546" s="8"/>
      <c r="HX546" s="8"/>
      <c r="HY546" s="8"/>
      <c r="HZ546" s="8"/>
      <c r="IA546" s="8"/>
      <c r="IB546" s="8"/>
      <c r="IC546" s="8"/>
      <c r="ID546" s="8"/>
      <c r="IE546" s="8"/>
      <c r="IF546" s="8"/>
      <c r="IG546" s="8"/>
      <c r="IH546" s="8"/>
      <c r="II546" s="8"/>
      <c r="IJ546" s="8"/>
      <c r="IK546" s="8"/>
      <c r="IL546" s="8"/>
      <c r="IM546" s="8"/>
      <c r="IN546" s="8"/>
      <c r="IO546" s="8"/>
      <c r="IP546" s="8"/>
      <c r="IQ546" s="8"/>
      <c r="IR546" s="8"/>
      <c r="IS546" s="8"/>
      <c r="IT546" s="8"/>
      <c r="IU546" s="8"/>
      <c r="IV546" s="8"/>
    </row>
    <row r="547" ht="12.75" customHeight="1">
      <c r="A547" s="8"/>
      <c r="HT547" s="8"/>
      <c r="HU547" s="8"/>
      <c r="HV547" s="8"/>
      <c r="HW547" s="8"/>
      <c r="HX547" s="8"/>
      <c r="HY547" s="8"/>
      <c r="HZ547" s="8"/>
      <c r="IA547" s="8"/>
      <c r="IB547" s="8"/>
      <c r="IC547" s="8"/>
      <c r="ID547" s="8"/>
      <c r="IE547" s="8"/>
      <c r="IF547" s="8"/>
      <c r="IG547" s="8"/>
      <c r="IH547" s="8"/>
      <c r="II547" s="8"/>
      <c r="IJ547" s="8"/>
      <c r="IK547" s="8"/>
      <c r="IL547" s="8"/>
      <c r="IM547" s="8"/>
      <c r="IN547" s="8"/>
      <c r="IO547" s="8"/>
      <c r="IP547" s="8"/>
      <c r="IQ547" s="8"/>
      <c r="IR547" s="8"/>
      <c r="IS547" s="8"/>
      <c r="IT547" s="8"/>
      <c r="IU547" s="8"/>
      <c r="IV547" s="8"/>
    </row>
    <row r="548" ht="12.75" customHeight="1">
      <c r="A548" s="8"/>
      <c r="HT548" s="8"/>
      <c r="HU548" s="8"/>
      <c r="HV548" s="8"/>
      <c r="HW548" s="8"/>
      <c r="HX548" s="8"/>
      <c r="HY548" s="8"/>
      <c r="HZ548" s="8"/>
      <c r="IA548" s="8"/>
      <c r="IB548" s="8"/>
      <c r="IC548" s="8"/>
      <c r="ID548" s="8"/>
      <c r="IE548" s="8"/>
      <c r="IF548" s="8"/>
      <c r="IG548" s="8"/>
      <c r="IH548" s="8"/>
      <c r="II548" s="8"/>
      <c r="IJ548" s="8"/>
      <c r="IK548" s="8"/>
      <c r="IL548" s="8"/>
      <c r="IM548" s="8"/>
      <c r="IN548" s="8"/>
      <c r="IO548" s="8"/>
      <c r="IP548" s="8"/>
      <c r="IQ548" s="8"/>
      <c r="IR548" s="8"/>
      <c r="IS548" s="8"/>
      <c r="IT548" s="8"/>
      <c r="IU548" s="8"/>
      <c r="IV548" s="8"/>
    </row>
    <row r="549" ht="12.75" customHeight="1">
      <c r="A549" s="8"/>
      <c r="HT549" s="8"/>
      <c r="HU549" s="8"/>
      <c r="HV549" s="8"/>
      <c r="HW549" s="8"/>
      <c r="HX549" s="8"/>
      <c r="HY549" s="8"/>
      <c r="HZ549" s="8"/>
      <c r="IA549" s="8"/>
      <c r="IB549" s="8"/>
      <c r="IC549" s="8"/>
      <c r="ID549" s="8"/>
      <c r="IE549" s="8"/>
      <c r="IF549" s="8"/>
      <c r="IG549" s="8"/>
      <c r="IH549" s="8"/>
      <c r="II549" s="8"/>
      <c r="IJ549" s="8"/>
      <c r="IK549" s="8"/>
      <c r="IL549" s="8"/>
      <c r="IM549" s="8"/>
      <c r="IN549" s="8"/>
      <c r="IO549" s="8"/>
      <c r="IP549" s="8"/>
      <c r="IQ549" s="8"/>
      <c r="IR549" s="8"/>
      <c r="IS549" s="8"/>
      <c r="IT549" s="8"/>
      <c r="IU549" s="8"/>
      <c r="IV549" s="8"/>
    </row>
    <row r="550" ht="12.75" customHeight="1">
      <c r="A550" s="8"/>
      <c r="HT550" s="8"/>
      <c r="HU550" s="8"/>
      <c r="HV550" s="8"/>
      <c r="HW550" s="8"/>
      <c r="HX550" s="8"/>
      <c r="HY550" s="8"/>
      <c r="HZ550" s="8"/>
      <c r="IA550" s="8"/>
      <c r="IB550" s="8"/>
      <c r="IC550" s="8"/>
      <c r="ID550" s="8"/>
      <c r="IE550" s="8"/>
      <c r="IF550" s="8"/>
      <c r="IG550" s="8"/>
      <c r="IH550" s="8"/>
      <c r="II550" s="8"/>
      <c r="IJ550" s="8"/>
      <c r="IK550" s="8"/>
      <c r="IL550" s="8"/>
      <c r="IM550" s="8"/>
      <c r="IN550" s="8"/>
      <c r="IO550" s="8"/>
      <c r="IP550" s="8"/>
      <c r="IQ550" s="8"/>
      <c r="IR550" s="8"/>
      <c r="IS550" s="8"/>
      <c r="IT550" s="8"/>
      <c r="IU550" s="8"/>
      <c r="IV550" s="8"/>
    </row>
    <row r="551" ht="12.75" customHeight="1">
      <c r="A551" s="8"/>
      <c r="HT551" s="8"/>
      <c r="HU551" s="8"/>
      <c r="HV551" s="8"/>
      <c r="HW551" s="8"/>
      <c r="HX551" s="8"/>
      <c r="HY551" s="8"/>
      <c r="HZ551" s="8"/>
      <c r="IA551" s="8"/>
      <c r="IB551" s="8"/>
      <c r="IC551" s="8"/>
      <c r="ID551" s="8"/>
      <c r="IE551" s="8"/>
      <c r="IF551" s="8"/>
      <c r="IG551" s="8"/>
      <c r="IH551" s="8"/>
      <c r="II551" s="8"/>
      <c r="IJ551" s="8"/>
      <c r="IK551" s="8"/>
      <c r="IL551" s="8"/>
      <c r="IM551" s="8"/>
      <c r="IN551" s="8"/>
      <c r="IO551" s="8"/>
      <c r="IP551" s="8"/>
      <c r="IQ551" s="8"/>
      <c r="IR551" s="8"/>
      <c r="IS551" s="8"/>
      <c r="IT551" s="8"/>
      <c r="IU551" s="8"/>
      <c r="IV551" s="8"/>
    </row>
    <row r="552" ht="12.75" customHeight="1">
      <c r="A552" s="8"/>
      <c r="HT552" s="8"/>
      <c r="HU552" s="8"/>
      <c r="HV552" s="8"/>
      <c r="HW552" s="8"/>
      <c r="HX552" s="8"/>
      <c r="HY552" s="8"/>
      <c r="HZ552" s="8"/>
      <c r="IA552" s="8"/>
      <c r="IB552" s="8"/>
      <c r="IC552" s="8"/>
      <c r="ID552" s="8"/>
      <c r="IE552" s="8"/>
      <c r="IF552" s="8"/>
      <c r="IG552" s="8"/>
      <c r="IH552" s="8"/>
      <c r="II552" s="8"/>
      <c r="IJ552" s="8"/>
      <c r="IK552" s="8"/>
      <c r="IL552" s="8"/>
      <c r="IM552" s="8"/>
      <c r="IN552" s="8"/>
      <c r="IO552" s="8"/>
      <c r="IP552" s="8"/>
      <c r="IQ552" s="8"/>
      <c r="IR552" s="8"/>
      <c r="IS552" s="8"/>
      <c r="IT552" s="8"/>
      <c r="IU552" s="8"/>
      <c r="IV552" s="8"/>
    </row>
    <row r="553" ht="12.75" customHeight="1">
      <c r="A553" s="8"/>
      <c r="HT553" s="8"/>
      <c r="HU553" s="8"/>
      <c r="HV553" s="8"/>
      <c r="HW553" s="8"/>
      <c r="HX553" s="8"/>
      <c r="HY553" s="8"/>
      <c r="HZ553" s="8"/>
      <c r="IA553" s="8"/>
      <c r="IB553" s="8"/>
      <c r="IC553" s="8"/>
      <c r="ID553" s="8"/>
      <c r="IE553" s="8"/>
      <c r="IF553" s="8"/>
      <c r="IG553" s="8"/>
      <c r="IH553" s="8"/>
      <c r="II553" s="8"/>
      <c r="IJ553" s="8"/>
      <c r="IK553" s="8"/>
      <c r="IL553" s="8"/>
      <c r="IM553" s="8"/>
      <c r="IN553" s="8"/>
      <c r="IO553" s="8"/>
      <c r="IP553" s="8"/>
      <c r="IQ553" s="8"/>
      <c r="IR553" s="8"/>
      <c r="IS553" s="8"/>
      <c r="IT553" s="8"/>
      <c r="IU553" s="8"/>
      <c r="IV553" s="8"/>
    </row>
    <row r="554" ht="12.75" customHeight="1">
      <c r="A554" s="8"/>
      <c r="HT554" s="8"/>
      <c r="HU554" s="8"/>
      <c r="HV554" s="8"/>
      <c r="HW554" s="8"/>
      <c r="HX554" s="8"/>
      <c r="HY554" s="8"/>
      <c r="HZ554" s="8"/>
      <c r="IA554" s="8"/>
      <c r="IB554" s="8"/>
      <c r="IC554" s="8"/>
      <c r="ID554" s="8"/>
      <c r="IE554" s="8"/>
      <c r="IF554" s="8"/>
      <c r="IG554" s="8"/>
      <c r="IH554" s="8"/>
      <c r="II554" s="8"/>
      <c r="IJ554" s="8"/>
      <c r="IK554" s="8"/>
      <c r="IL554" s="8"/>
      <c r="IM554" s="8"/>
      <c r="IN554" s="8"/>
      <c r="IO554" s="8"/>
      <c r="IP554" s="8"/>
      <c r="IQ554" s="8"/>
      <c r="IR554" s="8"/>
      <c r="IS554" s="8"/>
      <c r="IT554" s="8"/>
      <c r="IU554" s="8"/>
      <c r="IV554" s="8"/>
    </row>
    <row r="555" ht="12.75" customHeight="1">
      <c r="A555" s="8"/>
      <c r="HT555" s="8"/>
      <c r="HU555" s="8"/>
      <c r="HV555" s="8"/>
      <c r="HW555" s="8"/>
      <c r="HX555" s="8"/>
      <c r="HY555" s="8"/>
      <c r="HZ555" s="8"/>
      <c r="IA555" s="8"/>
      <c r="IB555" s="8"/>
      <c r="IC555" s="8"/>
      <c r="ID555" s="8"/>
      <c r="IE555" s="8"/>
      <c r="IF555" s="8"/>
      <c r="IG555" s="8"/>
      <c r="IH555" s="8"/>
      <c r="II555" s="8"/>
      <c r="IJ555" s="8"/>
      <c r="IK555" s="8"/>
      <c r="IL555" s="8"/>
      <c r="IM555" s="8"/>
      <c r="IN555" s="8"/>
      <c r="IO555" s="8"/>
      <c r="IP555" s="8"/>
      <c r="IQ555" s="8"/>
      <c r="IR555" s="8"/>
      <c r="IS555" s="8"/>
      <c r="IT555" s="8"/>
      <c r="IU555" s="8"/>
      <c r="IV555" s="8"/>
    </row>
    <row r="556" ht="12.75" customHeight="1">
      <c r="A556" s="8"/>
      <c r="HT556" s="8"/>
      <c r="HU556" s="8"/>
      <c r="HV556" s="8"/>
      <c r="HW556" s="8"/>
      <c r="HX556" s="8"/>
      <c r="HY556" s="8"/>
      <c r="HZ556" s="8"/>
      <c r="IA556" s="8"/>
      <c r="IB556" s="8"/>
      <c r="IC556" s="8"/>
      <c r="ID556" s="8"/>
      <c r="IE556" s="8"/>
      <c r="IF556" s="8"/>
      <c r="IG556" s="8"/>
      <c r="IH556" s="8"/>
      <c r="II556" s="8"/>
      <c r="IJ556" s="8"/>
      <c r="IK556" s="8"/>
      <c r="IL556" s="8"/>
      <c r="IM556" s="8"/>
      <c r="IN556" s="8"/>
      <c r="IO556" s="8"/>
      <c r="IP556" s="8"/>
      <c r="IQ556" s="8"/>
      <c r="IR556" s="8"/>
      <c r="IS556" s="8"/>
      <c r="IT556" s="8"/>
      <c r="IU556" s="8"/>
      <c r="IV556" s="8"/>
    </row>
    <row r="557" ht="12.75" customHeight="1">
      <c r="A557" s="8"/>
      <c r="HT557" s="8"/>
      <c r="HU557" s="8"/>
      <c r="HV557" s="8"/>
      <c r="HW557" s="8"/>
      <c r="HX557" s="8"/>
      <c r="HY557" s="8"/>
      <c r="HZ557" s="8"/>
      <c r="IA557" s="8"/>
      <c r="IB557" s="8"/>
      <c r="IC557" s="8"/>
      <c r="ID557" s="8"/>
      <c r="IE557" s="8"/>
      <c r="IF557" s="8"/>
      <c r="IG557" s="8"/>
      <c r="IH557" s="8"/>
      <c r="II557" s="8"/>
      <c r="IJ557" s="8"/>
      <c r="IK557" s="8"/>
      <c r="IL557" s="8"/>
      <c r="IM557" s="8"/>
      <c r="IN557" s="8"/>
      <c r="IO557" s="8"/>
      <c r="IP557" s="8"/>
      <c r="IQ557" s="8"/>
      <c r="IR557" s="8"/>
      <c r="IS557" s="8"/>
      <c r="IT557" s="8"/>
      <c r="IU557" s="8"/>
      <c r="IV557" s="8"/>
    </row>
    <row r="558" ht="12.75" customHeight="1">
      <c r="A558" s="8"/>
      <c r="HT558" s="8"/>
      <c r="HU558" s="8"/>
      <c r="HV558" s="8"/>
      <c r="HW558" s="8"/>
      <c r="HX558" s="8"/>
      <c r="HY558" s="8"/>
      <c r="HZ558" s="8"/>
      <c r="IA558" s="8"/>
      <c r="IB558" s="8"/>
      <c r="IC558" s="8"/>
      <c r="ID558" s="8"/>
      <c r="IE558" s="8"/>
      <c r="IF558" s="8"/>
      <c r="IG558" s="8"/>
      <c r="IH558" s="8"/>
      <c r="II558" s="8"/>
      <c r="IJ558" s="8"/>
      <c r="IK558" s="8"/>
      <c r="IL558" s="8"/>
      <c r="IM558" s="8"/>
      <c r="IN558" s="8"/>
      <c r="IO558" s="8"/>
      <c r="IP558" s="8"/>
      <c r="IQ558" s="8"/>
      <c r="IR558" s="8"/>
      <c r="IS558" s="8"/>
      <c r="IT558" s="8"/>
      <c r="IU558" s="8"/>
      <c r="IV558" s="8"/>
    </row>
    <row r="559" ht="12.75" customHeight="1">
      <c r="A559" s="8"/>
      <c r="HT559" s="8"/>
      <c r="HU559" s="8"/>
      <c r="HV559" s="8"/>
      <c r="HW559" s="8"/>
      <c r="HX559" s="8"/>
      <c r="HY559" s="8"/>
      <c r="HZ559" s="8"/>
      <c r="IA559" s="8"/>
      <c r="IB559" s="8"/>
      <c r="IC559" s="8"/>
      <c r="ID559" s="8"/>
      <c r="IE559" s="8"/>
      <c r="IF559" s="8"/>
      <c r="IG559" s="8"/>
      <c r="IH559" s="8"/>
      <c r="II559" s="8"/>
      <c r="IJ559" s="8"/>
      <c r="IK559" s="8"/>
      <c r="IL559" s="8"/>
      <c r="IM559" s="8"/>
      <c r="IN559" s="8"/>
      <c r="IO559" s="8"/>
      <c r="IP559" s="8"/>
      <c r="IQ559" s="8"/>
      <c r="IR559" s="8"/>
      <c r="IS559" s="8"/>
      <c r="IT559" s="8"/>
      <c r="IU559" s="8"/>
      <c r="IV559" s="8"/>
    </row>
    <row r="560" ht="12.75" customHeight="1">
      <c r="A560" s="8"/>
      <c r="HT560" s="8"/>
      <c r="HU560" s="8"/>
      <c r="HV560" s="8"/>
      <c r="HW560" s="8"/>
      <c r="HX560" s="8"/>
      <c r="HY560" s="8"/>
      <c r="HZ560" s="8"/>
      <c r="IA560" s="8"/>
      <c r="IB560" s="8"/>
      <c r="IC560" s="8"/>
      <c r="ID560" s="8"/>
      <c r="IE560" s="8"/>
      <c r="IF560" s="8"/>
      <c r="IG560" s="8"/>
      <c r="IH560" s="8"/>
      <c r="II560" s="8"/>
      <c r="IJ560" s="8"/>
      <c r="IK560" s="8"/>
      <c r="IL560" s="8"/>
      <c r="IM560" s="8"/>
      <c r="IN560" s="8"/>
      <c r="IO560" s="8"/>
      <c r="IP560" s="8"/>
      <c r="IQ560" s="8"/>
      <c r="IR560" s="8"/>
      <c r="IS560" s="8"/>
      <c r="IT560" s="8"/>
      <c r="IU560" s="8"/>
      <c r="IV560" s="8"/>
    </row>
    <row r="561" ht="12.75" customHeight="1">
      <c r="A561" s="8"/>
      <c r="HT561" s="8"/>
      <c r="HU561" s="8"/>
      <c r="HV561" s="8"/>
      <c r="HW561" s="8"/>
      <c r="HX561" s="8"/>
      <c r="HY561" s="8"/>
      <c r="HZ561" s="8"/>
      <c r="IA561" s="8"/>
      <c r="IB561" s="8"/>
      <c r="IC561" s="8"/>
      <c r="ID561" s="8"/>
      <c r="IE561" s="8"/>
      <c r="IF561" s="8"/>
      <c r="IG561" s="8"/>
      <c r="IH561" s="8"/>
      <c r="II561" s="8"/>
      <c r="IJ561" s="8"/>
      <c r="IK561" s="8"/>
      <c r="IL561" s="8"/>
      <c r="IM561" s="8"/>
      <c r="IN561" s="8"/>
      <c r="IO561" s="8"/>
      <c r="IP561" s="8"/>
      <c r="IQ561" s="8"/>
      <c r="IR561" s="8"/>
      <c r="IS561" s="8"/>
      <c r="IT561" s="8"/>
      <c r="IU561" s="8"/>
      <c r="IV561" s="8"/>
    </row>
    <row r="562" ht="12.75" customHeight="1">
      <c r="A562" s="8"/>
      <c r="HT562" s="8"/>
      <c r="HU562" s="8"/>
      <c r="HV562" s="8"/>
      <c r="HW562" s="8"/>
      <c r="HX562" s="8"/>
      <c r="HY562" s="8"/>
      <c r="HZ562" s="8"/>
      <c r="IA562" s="8"/>
      <c r="IB562" s="8"/>
      <c r="IC562" s="8"/>
      <c r="ID562" s="8"/>
      <c r="IE562" s="8"/>
      <c r="IF562" s="8"/>
      <c r="IG562" s="8"/>
      <c r="IH562" s="8"/>
      <c r="II562" s="8"/>
      <c r="IJ562" s="8"/>
      <c r="IK562" s="8"/>
      <c r="IL562" s="8"/>
      <c r="IM562" s="8"/>
      <c r="IN562" s="8"/>
      <c r="IO562" s="8"/>
      <c r="IP562" s="8"/>
      <c r="IQ562" s="8"/>
      <c r="IR562" s="8"/>
      <c r="IS562" s="8"/>
      <c r="IT562" s="8"/>
      <c r="IU562" s="8"/>
      <c r="IV562" s="8"/>
    </row>
    <row r="563" ht="12.75" customHeight="1">
      <c r="A563" s="8"/>
      <c r="HT563" s="8"/>
      <c r="HU563" s="8"/>
      <c r="HV563" s="8"/>
      <c r="HW563" s="8"/>
      <c r="HX563" s="8"/>
      <c r="HY563" s="8"/>
      <c r="HZ563" s="8"/>
      <c r="IA563" s="8"/>
      <c r="IB563" s="8"/>
      <c r="IC563" s="8"/>
      <c r="ID563" s="8"/>
      <c r="IE563" s="8"/>
      <c r="IF563" s="8"/>
      <c r="IG563" s="8"/>
      <c r="IH563" s="8"/>
      <c r="II563" s="8"/>
      <c r="IJ563" s="8"/>
      <c r="IK563" s="8"/>
      <c r="IL563" s="8"/>
      <c r="IM563" s="8"/>
      <c r="IN563" s="8"/>
      <c r="IO563" s="8"/>
      <c r="IP563" s="8"/>
      <c r="IQ563" s="8"/>
      <c r="IR563" s="8"/>
      <c r="IS563" s="8"/>
      <c r="IT563" s="8"/>
      <c r="IU563" s="8"/>
      <c r="IV563" s="8"/>
    </row>
    <row r="564" ht="12.75" customHeight="1">
      <c r="A564" s="8"/>
      <c r="HT564" s="8"/>
      <c r="HU564" s="8"/>
      <c r="HV564" s="8"/>
      <c r="HW564" s="8"/>
      <c r="HX564" s="8"/>
      <c r="HY564" s="8"/>
      <c r="HZ564" s="8"/>
      <c r="IA564" s="8"/>
      <c r="IB564" s="8"/>
      <c r="IC564" s="8"/>
      <c r="ID564" s="8"/>
      <c r="IE564" s="8"/>
      <c r="IF564" s="8"/>
      <c r="IG564" s="8"/>
      <c r="IH564" s="8"/>
      <c r="II564" s="8"/>
      <c r="IJ564" s="8"/>
      <c r="IK564" s="8"/>
      <c r="IL564" s="8"/>
      <c r="IM564" s="8"/>
      <c r="IN564" s="8"/>
      <c r="IO564" s="8"/>
      <c r="IP564" s="8"/>
      <c r="IQ564" s="8"/>
      <c r="IR564" s="8"/>
      <c r="IS564" s="8"/>
      <c r="IT564" s="8"/>
      <c r="IU564" s="8"/>
      <c r="IV564" s="8"/>
    </row>
    <row r="565" ht="12.75" customHeight="1">
      <c r="A565" s="8"/>
      <c r="HT565" s="8"/>
      <c r="HU565" s="8"/>
      <c r="HV565" s="8"/>
      <c r="HW565" s="8"/>
      <c r="HX565" s="8"/>
      <c r="HY565" s="8"/>
      <c r="HZ565" s="8"/>
      <c r="IA565" s="8"/>
      <c r="IB565" s="8"/>
      <c r="IC565" s="8"/>
      <c r="ID565" s="8"/>
      <c r="IE565" s="8"/>
      <c r="IF565" s="8"/>
      <c r="IG565" s="8"/>
      <c r="IH565" s="8"/>
      <c r="II565" s="8"/>
      <c r="IJ565" s="8"/>
      <c r="IK565" s="8"/>
      <c r="IL565" s="8"/>
      <c r="IM565" s="8"/>
      <c r="IN565" s="8"/>
      <c r="IO565" s="8"/>
      <c r="IP565" s="8"/>
      <c r="IQ565" s="8"/>
      <c r="IR565" s="8"/>
      <c r="IS565" s="8"/>
      <c r="IT565" s="8"/>
      <c r="IU565" s="8"/>
      <c r="IV565" s="8"/>
    </row>
    <row r="566" ht="12.75" customHeight="1">
      <c r="A566" s="8"/>
      <c r="HT566" s="8"/>
      <c r="HU566" s="8"/>
      <c r="HV566" s="8"/>
      <c r="HW566" s="8"/>
      <c r="HX566" s="8"/>
      <c r="HY566" s="8"/>
      <c r="HZ566" s="8"/>
      <c r="IA566" s="8"/>
      <c r="IB566" s="8"/>
      <c r="IC566" s="8"/>
      <c r="ID566" s="8"/>
      <c r="IE566" s="8"/>
      <c r="IF566" s="8"/>
      <c r="IG566" s="8"/>
      <c r="IH566" s="8"/>
      <c r="II566" s="8"/>
      <c r="IJ566" s="8"/>
      <c r="IK566" s="8"/>
      <c r="IL566" s="8"/>
      <c r="IM566" s="8"/>
      <c r="IN566" s="8"/>
      <c r="IO566" s="8"/>
      <c r="IP566" s="8"/>
      <c r="IQ566" s="8"/>
      <c r="IR566" s="8"/>
      <c r="IS566" s="8"/>
      <c r="IT566" s="8"/>
      <c r="IU566" s="8"/>
      <c r="IV566" s="8"/>
    </row>
    <row r="567" ht="12.75" customHeight="1">
      <c r="A567" s="8"/>
      <c r="HT567" s="8"/>
      <c r="HU567" s="8"/>
      <c r="HV567" s="8"/>
      <c r="HW567" s="8"/>
      <c r="HX567" s="8"/>
      <c r="HY567" s="8"/>
      <c r="HZ567" s="8"/>
      <c r="IA567" s="8"/>
      <c r="IB567" s="8"/>
      <c r="IC567" s="8"/>
      <c r="ID567" s="8"/>
      <c r="IE567" s="8"/>
      <c r="IF567" s="8"/>
      <c r="IG567" s="8"/>
      <c r="IH567" s="8"/>
      <c r="II567" s="8"/>
      <c r="IJ567" s="8"/>
      <c r="IK567" s="8"/>
      <c r="IL567" s="8"/>
      <c r="IM567" s="8"/>
      <c r="IN567" s="8"/>
      <c r="IO567" s="8"/>
      <c r="IP567" s="8"/>
      <c r="IQ567" s="8"/>
      <c r="IR567" s="8"/>
      <c r="IS567" s="8"/>
      <c r="IT567" s="8"/>
      <c r="IU567" s="8"/>
      <c r="IV567" s="8"/>
    </row>
    <row r="568" ht="12.75" customHeight="1">
      <c r="A568" s="8"/>
      <c r="HT568" s="8"/>
      <c r="HU568" s="8"/>
      <c r="HV568" s="8"/>
      <c r="HW568" s="8"/>
      <c r="HX568" s="8"/>
      <c r="HY568" s="8"/>
      <c r="HZ568" s="8"/>
      <c r="IA568" s="8"/>
      <c r="IB568" s="8"/>
      <c r="IC568" s="8"/>
      <c r="ID568" s="8"/>
      <c r="IE568" s="8"/>
      <c r="IF568" s="8"/>
      <c r="IG568" s="8"/>
      <c r="IH568" s="8"/>
      <c r="II568" s="8"/>
      <c r="IJ568" s="8"/>
      <c r="IK568" s="8"/>
      <c r="IL568" s="8"/>
      <c r="IM568" s="8"/>
      <c r="IN568" s="8"/>
      <c r="IO568" s="8"/>
      <c r="IP568" s="8"/>
      <c r="IQ568" s="8"/>
      <c r="IR568" s="8"/>
      <c r="IS568" s="8"/>
      <c r="IT568" s="8"/>
      <c r="IU568" s="8"/>
      <c r="IV568" s="8"/>
    </row>
    <row r="569" ht="12.75" customHeight="1">
      <c r="A569" s="8"/>
      <c r="HT569" s="8"/>
      <c r="HU569" s="8"/>
      <c r="HV569" s="8"/>
      <c r="HW569" s="8"/>
      <c r="HX569" s="8"/>
      <c r="HY569" s="8"/>
      <c r="HZ569" s="8"/>
      <c r="IA569" s="8"/>
      <c r="IB569" s="8"/>
      <c r="IC569" s="8"/>
      <c r="ID569" s="8"/>
      <c r="IE569" s="8"/>
      <c r="IF569" s="8"/>
      <c r="IG569" s="8"/>
      <c r="IH569" s="8"/>
      <c r="II569" s="8"/>
      <c r="IJ569" s="8"/>
      <c r="IK569" s="8"/>
      <c r="IL569" s="8"/>
      <c r="IM569" s="8"/>
      <c r="IN569" s="8"/>
      <c r="IO569" s="8"/>
      <c r="IP569" s="8"/>
      <c r="IQ569" s="8"/>
      <c r="IR569" s="8"/>
      <c r="IS569" s="8"/>
      <c r="IT569" s="8"/>
      <c r="IU569" s="8"/>
      <c r="IV569" s="8"/>
    </row>
    <row r="570" ht="12.75" customHeight="1">
      <c r="A570" s="8"/>
      <c r="HT570" s="8"/>
      <c r="HU570" s="8"/>
      <c r="HV570" s="8"/>
      <c r="HW570" s="8"/>
      <c r="HX570" s="8"/>
      <c r="HY570" s="8"/>
      <c r="HZ570" s="8"/>
      <c r="IA570" s="8"/>
      <c r="IB570" s="8"/>
      <c r="IC570" s="8"/>
      <c r="ID570" s="8"/>
      <c r="IE570" s="8"/>
      <c r="IF570" s="8"/>
      <c r="IG570" s="8"/>
      <c r="IH570" s="8"/>
      <c r="II570" s="8"/>
      <c r="IJ570" s="8"/>
      <c r="IK570" s="8"/>
      <c r="IL570" s="8"/>
      <c r="IM570" s="8"/>
      <c r="IN570" s="8"/>
      <c r="IO570" s="8"/>
      <c r="IP570" s="8"/>
      <c r="IQ570" s="8"/>
      <c r="IR570" s="8"/>
      <c r="IS570" s="8"/>
      <c r="IT570" s="8"/>
      <c r="IU570" s="8"/>
      <c r="IV570" s="8"/>
    </row>
    <row r="571" ht="12.75" customHeight="1">
      <c r="A571" s="8"/>
      <c r="HT571" s="8"/>
      <c r="HU571" s="8"/>
      <c r="HV571" s="8"/>
      <c r="HW571" s="8"/>
      <c r="HX571" s="8"/>
      <c r="HY571" s="8"/>
      <c r="HZ571" s="8"/>
      <c r="IA571" s="8"/>
      <c r="IB571" s="8"/>
      <c r="IC571" s="8"/>
      <c r="ID571" s="8"/>
      <c r="IE571" s="8"/>
      <c r="IF571" s="8"/>
      <c r="IG571" s="8"/>
      <c r="IH571" s="8"/>
      <c r="II571" s="8"/>
      <c r="IJ571" s="8"/>
      <c r="IK571" s="8"/>
      <c r="IL571" s="8"/>
      <c r="IM571" s="8"/>
      <c r="IN571" s="8"/>
      <c r="IO571" s="8"/>
      <c r="IP571" s="8"/>
      <c r="IQ571" s="8"/>
      <c r="IR571" s="8"/>
      <c r="IS571" s="8"/>
      <c r="IT571" s="8"/>
      <c r="IU571" s="8"/>
      <c r="IV571" s="8"/>
    </row>
    <row r="572" ht="12.75" customHeight="1">
      <c r="A572" s="8"/>
      <c r="HT572" s="8"/>
      <c r="HU572" s="8"/>
      <c r="HV572" s="8"/>
      <c r="HW572" s="8"/>
      <c r="HX572" s="8"/>
      <c r="HY572" s="8"/>
      <c r="HZ572" s="8"/>
      <c r="IA572" s="8"/>
      <c r="IB572" s="8"/>
      <c r="IC572" s="8"/>
      <c r="ID572" s="8"/>
      <c r="IE572" s="8"/>
      <c r="IF572" s="8"/>
      <c r="IG572" s="8"/>
      <c r="IH572" s="8"/>
      <c r="II572" s="8"/>
      <c r="IJ572" s="8"/>
      <c r="IK572" s="8"/>
      <c r="IL572" s="8"/>
      <c r="IM572" s="8"/>
      <c r="IN572" s="8"/>
      <c r="IO572" s="8"/>
      <c r="IP572" s="8"/>
      <c r="IQ572" s="8"/>
      <c r="IR572" s="8"/>
      <c r="IS572" s="8"/>
      <c r="IT572" s="8"/>
      <c r="IU572" s="8"/>
      <c r="IV572" s="8"/>
    </row>
    <row r="573" ht="12.75" customHeight="1">
      <c r="A573" s="8"/>
      <c r="HT573" s="8"/>
      <c r="HU573" s="8"/>
      <c r="HV573" s="8"/>
      <c r="HW573" s="8"/>
      <c r="HX573" s="8"/>
      <c r="HY573" s="8"/>
      <c r="HZ573" s="8"/>
      <c r="IA573" s="8"/>
      <c r="IB573" s="8"/>
      <c r="IC573" s="8"/>
      <c r="ID573" s="8"/>
      <c r="IE573" s="8"/>
      <c r="IF573" s="8"/>
      <c r="IG573" s="8"/>
      <c r="IH573" s="8"/>
      <c r="II573" s="8"/>
      <c r="IJ573" s="8"/>
      <c r="IK573" s="8"/>
      <c r="IL573" s="8"/>
      <c r="IM573" s="8"/>
      <c r="IN573" s="8"/>
      <c r="IO573" s="8"/>
      <c r="IP573" s="8"/>
      <c r="IQ573" s="8"/>
      <c r="IR573" s="8"/>
      <c r="IS573" s="8"/>
      <c r="IT573" s="8"/>
      <c r="IU573" s="8"/>
      <c r="IV573" s="8"/>
    </row>
    <row r="574" ht="12.75" customHeight="1">
      <c r="A574" s="8"/>
      <c r="HT574" s="8"/>
      <c r="HU574" s="8"/>
      <c r="HV574" s="8"/>
      <c r="HW574" s="8"/>
      <c r="HX574" s="8"/>
      <c r="HY574" s="8"/>
      <c r="HZ574" s="8"/>
      <c r="IA574" s="8"/>
      <c r="IB574" s="8"/>
      <c r="IC574" s="8"/>
      <c r="ID574" s="8"/>
      <c r="IE574" s="8"/>
      <c r="IF574" s="8"/>
      <c r="IG574" s="8"/>
      <c r="IH574" s="8"/>
      <c r="II574" s="8"/>
      <c r="IJ574" s="8"/>
      <c r="IK574" s="8"/>
      <c r="IL574" s="8"/>
      <c r="IM574" s="8"/>
      <c r="IN574" s="8"/>
      <c r="IO574" s="8"/>
      <c r="IP574" s="8"/>
      <c r="IQ574" s="8"/>
      <c r="IR574" s="8"/>
      <c r="IS574" s="8"/>
      <c r="IT574" s="8"/>
      <c r="IU574" s="8"/>
      <c r="IV574" s="8"/>
    </row>
    <row r="575" ht="12.75" customHeight="1">
      <c r="A575" s="8"/>
      <c r="HT575" s="8"/>
      <c r="HU575" s="8"/>
      <c r="HV575" s="8"/>
      <c r="HW575" s="8"/>
      <c r="HX575" s="8"/>
      <c r="HY575" s="8"/>
      <c r="HZ575" s="8"/>
      <c r="IA575" s="8"/>
      <c r="IB575" s="8"/>
      <c r="IC575" s="8"/>
      <c r="ID575" s="8"/>
      <c r="IE575" s="8"/>
      <c r="IF575" s="8"/>
      <c r="IG575" s="8"/>
      <c r="IH575" s="8"/>
      <c r="II575" s="8"/>
      <c r="IJ575" s="8"/>
      <c r="IK575" s="8"/>
      <c r="IL575" s="8"/>
      <c r="IM575" s="8"/>
      <c r="IN575" s="8"/>
      <c r="IO575" s="8"/>
      <c r="IP575" s="8"/>
      <c r="IQ575" s="8"/>
      <c r="IR575" s="8"/>
      <c r="IS575" s="8"/>
      <c r="IT575" s="8"/>
      <c r="IU575" s="8"/>
      <c r="IV575" s="8"/>
    </row>
    <row r="576" ht="12.75" customHeight="1">
      <c r="A576" s="8"/>
      <c r="HT576" s="8"/>
      <c r="HU576" s="8"/>
      <c r="HV576" s="8"/>
      <c r="HW576" s="8"/>
      <c r="HX576" s="8"/>
      <c r="HY576" s="8"/>
      <c r="HZ576" s="8"/>
      <c r="IA576" s="8"/>
      <c r="IB576" s="8"/>
      <c r="IC576" s="8"/>
      <c r="ID576" s="8"/>
      <c r="IE576" s="8"/>
      <c r="IF576" s="8"/>
      <c r="IG576" s="8"/>
      <c r="IH576" s="8"/>
      <c r="II576" s="8"/>
      <c r="IJ576" s="8"/>
      <c r="IK576" s="8"/>
      <c r="IL576" s="8"/>
      <c r="IM576" s="8"/>
      <c r="IN576" s="8"/>
      <c r="IO576" s="8"/>
      <c r="IP576" s="8"/>
      <c r="IQ576" s="8"/>
      <c r="IR576" s="8"/>
      <c r="IS576" s="8"/>
      <c r="IT576" s="8"/>
      <c r="IU576" s="8"/>
      <c r="IV576" s="8"/>
    </row>
    <row r="577" ht="12.75" customHeight="1">
      <c r="A577" s="8"/>
      <c r="HT577" s="8"/>
      <c r="HU577" s="8"/>
      <c r="HV577" s="8"/>
      <c r="HW577" s="8"/>
      <c r="HX577" s="8"/>
      <c r="HY577" s="8"/>
      <c r="HZ577" s="8"/>
      <c r="IA577" s="8"/>
      <c r="IB577" s="8"/>
      <c r="IC577" s="8"/>
      <c r="ID577" s="8"/>
      <c r="IE577" s="8"/>
      <c r="IF577" s="8"/>
      <c r="IG577" s="8"/>
      <c r="IH577" s="8"/>
      <c r="II577" s="8"/>
      <c r="IJ577" s="8"/>
      <c r="IK577" s="8"/>
      <c r="IL577" s="8"/>
      <c r="IM577" s="8"/>
      <c r="IN577" s="8"/>
      <c r="IO577" s="8"/>
      <c r="IP577" s="8"/>
      <c r="IQ577" s="8"/>
      <c r="IR577" s="8"/>
      <c r="IS577" s="8"/>
      <c r="IT577" s="8"/>
      <c r="IU577" s="8"/>
      <c r="IV577" s="8"/>
    </row>
    <row r="578" ht="12.75" customHeight="1">
      <c r="A578" s="8"/>
      <c r="HT578" s="8"/>
      <c r="HU578" s="8"/>
      <c r="HV578" s="8"/>
      <c r="HW578" s="8"/>
      <c r="HX578" s="8"/>
      <c r="HY578" s="8"/>
      <c r="HZ578" s="8"/>
      <c r="IA578" s="8"/>
      <c r="IB578" s="8"/>
      <c r="IC578" s="8"/>
      <c r="ID578" s="8"/>
      <c r="IE578" s="8"/>
      <c r="IF578" s="8"/>
      <c r="IG578" s="8"/>
      <c r="IH578" s="8"/>
      <c r="II578" s="8"/>
      <c r="IJ578" s="8"/>
      <c r="IK578" s="8"/>
      <c r="IL578" s="8"/>
      <c r="IM578" s="8"/>
      <c r="IN578" s="8"/>
      <c r="IO578" s="8"/>
      <c r="IP578" s="8"/>
      <c r="IQ578" s="8"/>
      <c r="IR578" s="8"/>
      <c r="IS578" s="8"/>
      <c r="IT578" s="8"/>
      <c r="IU578" s="8"/>
      <c r="IV578" s="8"/>
    </row>
    <row r="579" ht="12.75" customHeight="1">
      <c r="A579" s="8"/>
      <c r="HT579" s="8"/>
      <c r="HU579" s="8"/>
      <c r="HV579" s="8"/>
      <c r="HW579" s="8"/>
      <c r="HX579" s="8"/>
      <c r="HY579" s="8"/>
      <c r="HZ579" s="8"/>
      <c r="IA579" s="8"/>
      <c r="IB579" s="8"/>
      <c r="IC579" s="8"/>
      <c r="ID579" s="8"/>
      <c r="IE579" s="8"/>
      <c r="IF579" s="8"/>
      <c r="IG579" s="8"/>
      <c r="IH579" s="8"/>
      <c r="II579" s="8"/>
      <c r="IJ579" s="8"/>
      <c r="IK579" s="8"/>
      <c r="IL579" s="8"/>
      <c r="IM579" s="8"/>
      <c r="IN579" s="8"/>
      <c r="IO579" s="8"/>
      <c r="IP579" s="8"/>
      <c r="IQ579" s="8"/>
      <c r="IR579" s="8"/>
      <c r="IS579" s="8"/>
      <c r="IT579" s="8"/>
      <c r="IU579" s="8"/>
      <c r="IV579" s="8"/>
    </row>
    <row r="580" ht="12.75" customHeight="1">
      <c r="A580" s="8"/>
      <c r="HT580" s="8"/>
      <c r="HU580" s="8"/>
      <c r="HV580" s="8"/>
      <c r="HW580" s="8"/>
      <c r="HX580" s="8"/>
      <c r="HY580" s="8"/>
      <c r="HZ580" s="8"/>
      <c r="IA580" s="8"/>
      <c r="IB580" s="8"/>
      <c r="IC580" s="8"/>
      <c r="ID580" s="8"/>
      <c r="IE580" s="8"/>
      <c r="IF580" s="8"/>
      <c r="IG580" s="8"/>
      <c r="IH580" s="8"/>
      <c r="II580" s="8"/>
      <c r="IJ580" s="8"/>
      <c r="IK580" s="8"/>
      <c r="IL580" s="8"/>
      <c r="IM580" s="8"/>
      <c r="IN580" s="8"/>
      <c r="IO580" s="8"/>
      <c r="IP580" s="8"/>
      <c r="IQ580" s="8"/>
      <c r="IR580" s="8"/>
      <c r="IS580" s="8"/>
      <c r="IT580" s="8"/>
      <c r="IU580" s="8"/>
      <c r="IV580" s="8"/>
    </row>
    <row r="581" ht="12.75" customHeight="1">
      <c r="A581" s="8"/>
      <c r="HT581" s="8"/>
      <c r="HU581" s="8"/>
      <c r="HV581" s="8"/>
      <c r="HW581" s="8"/>
      <c r="HX581" s="8"/>
      <c r="HY581" s="8"/>
      <c r="HZ581" s="8"/>
      <c r="IA581" s="8"/>
      <c r="IB581" s="8"/>
      <c r="IC581" s="8"/>
      <c r="ID581" s="8"/>
      <c r="IE581" s="8"/>
      <c r="IF581" s="8"/>
      <c r="IG581" s="8"/>
      <c r="IH581" s="8"/>
      <c r="II581" s="8"/>
      <c r="IJ581" s="8"/>
      <c r="IK581" s="8"/>
      <c r="IL581" s="8"/>
      <c r="IM581" s="8"/>
      <c r="IN581" s="8"/>
      <c r="IO581" s="8"/>
      <c r="IP581" s="8"/>
      <c r="IQ581" s="8"/>
      <c r="IR581" s="8"/>
      <c r="IS581" s="8"/>
      <c r="IT581" s="8"/>
      <c r="IU581" s="8"/>
      <c r="IV581" s="8"/>
    </row>
    <row r="582" ht="12.75" customHeight="1">
      <c r="A582" s="8"/>
      <c r="HT582" s="8"/>
      <c r="HU582" s="8"/>
      <c r="HV582" s="8"/>
      <c r="HW582" s="8"/>
      <c r="HX582" s="8"/>
      <c r="HY582" s="8"/>
      <c r="HZ582" s="8"/>
      <c r="IA582" s="8"/>
      <c r="IB582" s="8"/>
      <c r="IC582" s="8"/>
      <c r="ID582" s="8"/>
      <c r="IE582" s="8"/>
      <c r="IF582" s="8"/>
      <c r="IG582" s="8"/>
      <c r="IH582" s="8"/>
      <c r="II582" s="8"/>
      <c r="IJ582" s="8"/>
      <c r="IK582" s="8"/>
      <c r="IL582" s="8"/>
      <c r="IM582" s="8"/>
      <c r="IN582" s="8"/>
      <c r="IO582" s="8"/>
      <c r="IP582" s="8"/>
      <c r="IQ582" s="8"/>
      <c r="IR582" s="8"/>
      <c r="IS582" s="8"/>
      <c r="IT582" s="8"/>
      <c r="IU582" s="8"/>
      <c r="IV582" s="8"/>
    </row>
    <row r="583" ht="12.75" customHeight="1">
      <c r="A583" s="8"/>
      <c r="HT583" s="8"/>
      <c r="HU583" s="8"/>
      <c r="HV583" s="8"/>
      <c r="HW583" s="8"/>
      <c r="HX583" s="8"/>
      <c r="HY583" s="8"/>
      <c r="HZ583" s="8"/>
      <c r="IA583" s="8"/>
      <c r="IB583" s="8"/>
      <c r="IC583" s="8"/>
      <c r="ID583" s="8"/>
      <c r="IE583" s="8"/>
      <c r="IF583" s="8"/>
      <c r="IG583" s="8"/>
      <c r="IH583" s="8"/>
      <c r="II583" s="8"/>
      <c r="IJ583" s="8"/>
      <c r="IK583" s="8"/>
      <c r="IL583" s="8"/>
      <c r="IM583" s="8"/>
      <c r="IN583" s="8"/>
      <c r="IO583" s="8"/>
      <c r="IP583" s="8"/>
      <c r="IQ583" s="8"/>
      <c r="IR583" s="8"/>
      <c r="IS583" s="8"/>
      <c r="IT583" s="8"/>
      <c r="IU583" s="8"/>
      <c r="IV583" s="8"/>
    </row>
    <row r="584" ht="12.75" customHeight="1">
      <c r="A584" s="8"/>
      <c r="HT584" s="8"/>
      <c r="HU584" s="8"/>
      <c r="HV584" s="8"/>
      <c r="HW584" s="8"/>
      <c r="HX584" s="8"/>
      <c r="HY584" s="8"/>
      <c r="HZ584" s="8"/>
      <c r="IA584" s="8"/>
      <c r="IB584" s="8"/>
      <c r="IC584" s="8"/>
      <c r="ID584" s="8"/>
      <c r="IE584" s="8"/>
      <c r="IF584" s="8"/>
      <c r="IG584" s="8"/>
      <c r="IH584" s="8"/>
      <c r="II584" s="8"/>
      <c r="IJ584" s="8"/>
      <c r="IK584" s="8"/>
      <c r="IL584" s="8"/>
      <c r="IM584" s="8"/>
      <c r="IN584" s="8"/>
      <c r="IO584" s="8"/>
      <c r="IP584" s="8"/>
      <c r="IQ584" s="8"/>
      <c r="IR584" s="8"/>
      <c r="IS584" s="8"/>
      <c r="IT584" s="8"/>
      <c r="IU584" s="8"/>
      <c r="IV584" s="8"/>
    </row>
    <row r="585" ht="12.75" customHeight="1">
      <c r="A585" s="8"/>
      <c r="HT585" s="8"/>
      <c r="HU585" s="8"/>
      <c r="HV585" s="8"/>
      <c r="HW585" s="8"/>
      <c r="HX585" s="8"/>
      <c r="HY585" s="8"/>
      <c r="HZ585" s="8"/>
      <c r="IA585" s="8"/>
      <c r="IB585" s="8"/>
      <c r="IC585" s="8"/>
      <c r="ID585" s="8"/>
      <c r="IE585" s="8"/>
      <c r="IF585" s="8"/>
      <c r="IG585" s="8"/>
      <c r="IH585" s="8"/>
      <c r="II585" s="8"/>
      <c r="IJ585" s="8"/>
      <c r="IK585" s="8"/>
      <c r="IL585" s="8"/>
      <c r="IM585" s="8"/>
      <c r="IN585" s="8"/>
      <c r="IO585" s="8"/>
      <c r="IP585" s="8"/>
      <c r="IQ585" s="8"/>
      <c r="IR585" s="8"/>
      <c r="IS585" s="8"/>
      <c r="IT585" s="8"/>
      <c r="IU585" s="8"/>
      <c r="IV585" s="8"/>
    </row>
    <row r="586" ht="12.75" customHeight="1">
      <c r="A586" s="8"/>
      <c r="HT586" s="8"/>
      <c r="HU586" s="8"/>
      <c r="HV586" s="8"/>
      <c r="HW586" s="8"/>
      <c r="HX586" s="8"/>
      <c r="HY586" s="8"/>
      <c r="HZ586" s="8"/>
      <c r="IA586" s="8"/>
      <c r="IB586" s="8"/>
      <c r="IC586" s="8"/>
      <c r="ID586" s="8"/>
      <c r="IE586" s="8"/>
      <c r="IF586" s="8"/>
      <c r="IG586" s="8"/>
      <c r="IH586" s="8"/>
      <c r="II586" s="8"/>
      <c r="IJ586" s="8"/>
      <c r="IK586" s="8"/>
      <c r="IL586" s="8"/>
      <c r="IM586" s="8"/>
      <c r="IN586" s="8"/>
      <c r="IO586" s="8"/>
      <c r="IP586" s="8"/>
      <c r="IQ586" s="8"/>
      <c r="IR586" s="8"/>
      <c r="IS586" s="8"/>
      <c r="IT586" s="8"/>
      <c r="IU586" s="8"/>
      <c r="IV586" s="8"/>
    </row>
    <row r="587" ht="12.75" customHeight="1">
      <c r="A587" s="8"/>
      <c r="HT587" s="8"/>
      <c r="HU587" s="8"/>
      <c r="HV587" s="8"/>
      <c r="HW587" s="8"/>
      <c r="HX587" s="8"/>
      <c r="HY587" s="8"/>
      <c r="HZ587" s="8"/>
      <c r="IA587" s="8"/>
      <c r="IB587" s="8"/>
      <c r="IC587" s="8"/>
      <c r="ID587" s="8"/>
      <c r="IE587" s="8"/>
      <c r="IF587" s="8"/>
      <c r="IG587" s="8"/>
      <c r="IH587" s="8"/>
      <c r="II587" s="8"/>
      <c r="IJ587" s="8"/>
      <c r="IK587" s="8"/>
      <c r="IL587" s="8"/>
      <c r="IM587" s="8"/>
      <c r="IN587" s="8"/>
      <c r="IO587" s="8"/>
      <c r="IP587" s="8"/>
      <c r="IQ587" s="8"/>
      <c r="IR587" s="8"/>
      <c r="IS587" s="8"/>
      <c r="IT587" s="8"/>
      <c r="IU587" s="8"/>
      <c r="IV587" s="8"/>
    </row>
    <row r="588" ht="12.75" customHeight="1">
      <c r="A588" s="8"/>
      <c r="HT588" s="8"/>
      <c r="HU588" s="8"/>
      <c r="HV588" s="8"/>
      <c r="HW588" s="8"/>
      <c r="HX588" s="8"/>
      <c r="HY588" s="8"/>
      <c r="HZ588" s="8"/>
      <c r="IA588" s="8"/>
      <c r="IB588" s="8"/>
      <c r="IC588" s="8"/>
      <c r="ID588" s="8"/>
      <c r="IE588" s="8"/>
      <c r="IF588" s="8"/>
      <c r="IG588" s="8"/>
      <c r="IH588" s="8"/>
      <c r="II588" s="8"/>
      <c r="IJ588" s="8"/>
      <c r="IK588" s="8"/>
      <c r="IL588" s="8"/>
      <c r="IM588" s="8"/>
      <c r="IN588" s="8"/>
      <c r="IO588" s="8"/>
      <c r="IP588" s="8"/>
      <c r="IQ588" s="8"/>
      <c r="IR588" s="8"/>
      <c r="IS588" s="8"/>
      <c r="IT588" s="8"/>
      <c r="IU588" s="8"/>
      <c r="IV588" s="8"/>
    </row>
    <row r="589" ht="12.75" customHeight="1">
      <c r="A589" s="8"/>
      <c r="HT589" s="8"/>
      <c r="HU589" s="8"/>
      <c r="HV589" s="8"/>
      <c r="HW589" s="8"/>
      <c r="HX589" s="8"/>
      <c r="HY589" s="8"/>
      <c r="HZ589" s="8"/>
      <c r="IA589" s="8"/>
      <c r="IB589" s="8"/>
      <c r="IC589" s="8"/>
      <c r="ID589" s="8"/>
      <c r="IE589" s="8"/>
      <c r="IF589" s="8"/>
      <c r="IG589" s="8"/>
      <c r="IH589" s="8"/>
      <c r="II589" s="8"/>
      <c r="IJ589" s="8"/>
      <c r="IK589" s="8"/>
      <c r="IL589" s="8"/>
      <c r="IM589" s="8"/>
      <c r="IN589" s="8"/>
      <c r="IO589" s="8"/>
      <c r="IP589" s="8"/>
      <c r="IQ589" s="8"/>
      <c r="IR589" s="8"/>
      <c r="IS589" s="8"/>
      <c r="IT589" s="8"/>
      <c r="IU589" s="8"/>
      <c r="IV589" s="8"/>
    </row>
    <row r="590" ht="12.75" customHeight="1">
      <c r="A590" s="8"/>
      <c r="HT590" s="8"/>
      <c r="HU590" s="8"/>
      <c r="HV590" s="8"/>
      <c r="HW590" s="8"/>
      <c r="HX590" s="8"/>
      <c r="HY590" s="8"/>
      <c r="HZ590" s="8"/>
      <c r="IA590" s="8"/>
      <c r="IB590" s="8"/>
      <c r="IC590" s="8"/>
      <c r="ID590" s="8"/>
      <c r="IE590" s="8"/>
      <c r="IF590" s="8"/>
      <c r="IG590" s="8"/>
      <c r="IH590" s="8"/>
      <c r="II590" s="8"/>
      <c r="IJ590" s="8"/>
      <c r="IK590" s="8"/>
      <c r="IL590" s="8"/>
      <c r="IM590" s="8"/>
      <c r="IN590" s="8"/>
      <c r="IO590" s="8"/>
      <c r="IP590" s="8"/>
      <c r="IQ590" s="8"/>
      <c r="IR590" s="8"/>
      <c r="IS590" s="8"/>
      <c r="IT590" s="8"/>
      <c r="IU590" s="8"/>
      <c r="IV590" s="8"/>
    </row>
    <row r="591" ht="12.75" customHeight="1">
      <c r="A591" s="8"/>
      <c r="HT591" s="8"/>
      <c r="HU591" s="8"/>
      <c r="HV591" s="8"/>
      <c r="HW591" s="8"/>
      <c r="HX591" s="8"/>
      <c r="HY591" s="8"/>
      <c r="HZ591" s="8"/>
      <c r="IA591" s="8"/>
      <c r="IB591" s="8"/>
      <c r="IC591" s="8"/>
      <c r="ID591" s="8"/>
      <c r="IE591" s="8"/>
      <c r="IF591" s="8"/>
      <c r="IG591" s="8"/>
      <c r="IH591" s="8"/>
      <c r="II591" s="8"/>
      <c r="IJ591" s="8"/>
      <c r="IK591" s="8"/>
      <c r="IL591" s="8"/>
      <c r="IM591" s="8"/>
      <c r="IN591" s="8"/>
      <c r="IO591" s="8"/>
      <c r="IP591" s="8"/>
      <c r="IQ591" s="8"/>
      <c r="IR591" s="8"/>
      <c r="IS591" s="8"/>
      <c r="IT591" s="8"/>
      <c r="IU591" s="8"/>
      <c r="IV591" s="8"/>
    </row>
    <row r="592" ht="12.75" customHeight="1">
      <c r="A592" s="8"/>
      <c r="HT592" s="8"/>
      <c r="HU592" s="8"/>
      <c r="HV592" s="8"/>
      <c r="HW592" s="8"/>
      <c r="HX592" s="8"/>
      <c r="HY592" s="8"/>
      <c r="HZ592" s="8"/>
      <c r="IA592" s="8"/>
      <c r="IB592" s="8"/>
      <c r="IC592" s="8"/>
      <c r="ID592" s="8"/>
      <c r="IE592" s="8"/>
      <c r="IF592" s="8"/>
      <c r="IG592" s="8"/>
      <c r="IH592" s="8"/>
      <c r="II592" s="8"/>
      <c r="IJ592" s="8"/>
      <c r="IK592" s="8"/>
      <c r="IL592" s="8"/>
      <c r="IM592" s="8"/>
      <c r="IN592" s="8"/>
      <c r="IO592" s="8"/>
      <c r="IP592" s="8"/>
      <c r="IQ592" s="8"/>
      <c r="IR592" s="8"/>
      <c r="IS592" s="8"/>
      <c r="IT592" s="8"/>
      <c r="IU592" s="8"/>
      <c r="IV592" s="8"/>
    </row>
    <row r="593" ht="12.75" customHeight="1">
      <c r="A593" s="8"/>
      <c r="HT593" s="8"/>
      <c r="HU593" s="8"/>
      <c r="HV593" s="8"/>
      <c r="HW593" s="8"/>
      <c r="HX593" s="8"/>
      <c r="HY593" s="8"/>
      <c r="HZ593" s="8"/>
      <c r="IA593" s="8"/>
      <c r="IB593" s="8"/>
      <c r="IC593" s="8"/>
      <c r="ID593" s="8"/>
      <c r="IE593" s="8"/>
      <c r="IF593" s="8"/>
      <c r="IG593" s="8"/>
      <c r="IH593" s="8"/>
      <c r="II593" s="8"/>
      <c r="IJ593" s="8"/>
      <c r="IK593" s="8"/>
      <c r="IL593" s="8"/>
      <c r="IM593" s="8"/>
      <c r="IN593" s="8"/>
      <c r="IO593" s="8"/>
      <c r="IP593" s="8"/>
      <c r="IQ593" s="8"/>
      <c r="IR593" s="8"/>
      <c r="IS593" s="8"/>
      <c r="IT593" s="8"/>
      <c r="IU593" s="8"/>
      <c r="IV593" s="8"/>
    </row>
    <row r="594" ht="12.75" customHeight="1">
      <c r="A594" s="8"/>
      <c r="HT594" s="8"/>
      <c r="HU594" s="8"/>
      <c r="HV594" s="8"/>
      <c r="HW594" s="8"/>
      <c r="HX594" s="8"/>
      <c r="HY594" s="8"/>
      <c r="HZ594" s="8"/>
      <c r="IA594" s="8"/>
      <c r="IB594" s="8"/>
      <c r="IC594" s="8"/>
      <c r="ID594" s="8"/>
      <c r="IE594" s="8"/>
      <c r="IF594" s="8"/>
      <c r="IG594" s="8"/>
      <c r="IH594" s="8"/>
      <c r="II594" s="8"/>
      <c r="IJ594" s="8"/>
      <c r="IK594" s="8"/>
      <c r="IL594" s="8"/>
      <c r="IM594" s="8"/>
      <c r="IN594" s="8"/>
      <c r="IO594" s="8"/>
      <c r="IP594" s="8"/>
      <c r="IQ594" s="8"/>
      <c r="IR594" s="8"/>
      <c r="IS594" s="8"/>
      <c r="IT594" s="8"/>
      <c r="IU594" s="8"/>
      <c r="IV594" s="8"/>
    </row>
    <row r="595" ht="12.75" customHeight="1">
      <c r="A595" s="8"/>
      <c r="HT595" s="8"/>
      <c r="HU595" s="8"/>
      <c r="HV595" s="8"/>
      <c r="HW595" s="8"/>
      <c r="HX595" s="8"/>
      <c r="HY595" s="8"/>
      <c r="HZ595" s="8"/>
      <c r="IA595" s="8"/>
      <c r="IB595" s="8"/>
      <c r="IC595" s="8"/>
      <c r="ID595" s="8"/>
      <c r="IE595" s="8"/>
      <c r="IF595" s="8"/>
      <c r="IG595" s="8"/>
      <c r="IH595" s="8"/>
      <c r="II595" s="8"/>
      <c r="IJ595" s="8"/>
      <c r="IK595" s="8"/>
      <c r="IL595" s="8"/>
      <c r="IM595" s="8"/>
      <c r="IN595" s="8"/>
      <c r="IO595" s="8"/>
      <c r="IP595" s="8"/>
      <c r="IQ595" s="8"/>
      <c r="IR595" s="8"/>
      <c r="IS595" s="8"/>
      <c r="IT595" s="8"/>
      <c r="IU595" s="8"/>
      <c r="IV595" s="8"/>
    </row>
    <row r="596" ht="12.75" customHeight="1">
      <c r="A596" s="8"/>
      <c r="HT596" s="8"/>
      <c r="HU596" s="8"/>
      <c r="HV596" s="8"/>
      <c r="HW596" s="8"/>
      <c r="HX596" s="8"/>
      <c r="HY596" s="8"/>
      <c r="HZ596" s="8"/>
      <c r="IA596" s="8"/>
      <c r="IB596" s="8"/>
      <c r="IC596" s="8"/>
      <c r="ID596" s="8"/>
      <c r="IE596" s="8"/>
      <c r="IF596" s="8"/>
      <c r="IG596" s="8"/>
      <c r="IH596" s="8"/>
      <c r="II596" s="8"/>
      <c r="IJ596" s="8"/>
      <c r="IK596" s="8"/>
      <c r="IL596" s="8"/>
      <c r="IM596" s="8"/>
      <c r="IN596" s="8"/>
      <c r="IO596" s="8"/>
      <c r="IP596" s="8"/>
      <c r="IQ596" s="8"/>
      <c r="IR596" s="8"/>
      <c r="IS596" s="8"/>
      <c r="IT596" s="8"/>
      <c r="IU596" s="8"/>
      <c r="IV596" s="8"/>
    </row>
    <row r="597" ht="12.75" customHeight="1">
      <c r="A597" s="8"/>
      <c r="HT597" s="8"/>
      <c r="HU597" s="8"/>
      <c r="HV597" s="8"/>
      <c r="HW597" s="8"/>
      <c r="HX597" s="8"/>
      <c r="HY597" s="8"/>
      <c r="HZ597" s="8"/>
      <c r="IA597" s="8"/>
      <c r="IB597" s="8"/>
      <c r="IC597" s="8"/>
      <c r="ID597" s="8"/>
      <c r="IE597" s="8"/>
      <c r="IF597" s="8"/>
      <c r="IG597" s="8"/>
      <c r="IH597" s="8"/>
      <c r="II597" s="8"/>
      <c r="IJ597" s="8"/>
      <c r="IK597" s="8"/>
      <c r="IL597" s="8"/>
      <c r="IM597" s="8"/>
      <c r="IN597" s="8"/>
      <c r="IO597" s="8"/>
      <c r="IP597" s="8"/>
      <c r="IQ597" s="8"/>
      <c r="IR597" s="8"/>
      <c r="IS597" s="8"/>
      <c r="IT597" s="8"/>
      <c r="IU597" s="8"/>
      <c r="IV597" s="8"/>
    </row>
    <row r="598" ht="12.75" customHeight="1">
      <c r="A598" s="8"/>
      <c r="HT598" s="8"/>
      <c r="HU598" s="8"/>
      <c r="HV598" s="8"/>
      <c r="HW598" s="8"/>
      <c r="HX598" s="8"/>
      <c r="HY598" s="8"/>
      <c r="HZ598" s="8"/>
      <c r="IA598" s="8"/>
      <c r="IB598" s="8"/>
      <c r="IC598" s="8"/>
      <c r="ID598" s="8"/>
      <c r="IE598" s="8"/>
      <c r="IF598" s="8"/>
      <c r="IG598" s="8"/>
      <c r="IH598" s="8"/>
      <c r="II598" s="8"/>
      <c r="IJ598" s="8"/>
      <c r="IK598" s="8"/>
      <c r="IL598" s="8"/>
      <c r="IM598" s="8"/>
      <c r="IN598" s="8"/>
      <c r="IO598" s="8"/>
      <c r="IP598" s="8"/>
      <c r="IQ598" s="8"/>
      <c r="IR598" s="8"/>
      <c r="IS598" s="8"/>
      <c r="IT598" s="8"/>
      <c r="IU598" s="8"/>
      <c r="IV598" s="8"/>
    </row>
    <row r="599" ht="12.75" customHeight="1">
      <c r="A599" s="8"/>
      <c r="HT599" s="8"/>
      <c r="HU599" s="8"/>
      <c r="HV599" s="8"/>
      <c r="HW599" s="8"/>
      <c r="HX599" s="8"/>
      <c r="HY599" s="8"/>
      <c r="HZ599" s="8"/>
      <c r="IA599" s="8"/>
      <c r="IB599" s="8"/>
      <c r="IC599" s="8"/>
      <c r="ID599" s="8"/>
      <c r="IE599" s="8"/>
      <c r="IF599" s="8"/>
      <c r="IG599" s="8"/>
      <c r="IH599" s="8"/>
      <c r="II599" s="8"/>
      <c r="IJ599" s="8"/>
      <c r="IK599" s="8"/>
      <c r="IL599" s="8"/>
      <c r="IM599" s="8"/>
      <c r="IN599" s="8"/>
      <c r="IO599" s="8"/>
      <c r="IP599" s="8"/>
      <c r="IQ599" s="8"/>
      <c r="IR599" s="8"/>
      <c r="IS599" s="8"/>
      <c r="IT599" s="8"/>
      <c r="IU599" s="8"/>
      <c r="IV599" s="8"/>
    </row>
    <row r="600" ht="12.75" customHeight="1">
      <c r="A600" s="8"/>
      <c r="HT600" s="8"/>
      <c r="HU600" s="8"/>
      <c r="HV600" s="8"/>
      <c r="HW600" s="8"/>
      <c r="HX600" s="8"/>
      <c r="HY600" s="8"/>
      <c r="HZ600" s="8"/>
      <c r="IA600" s="8"/>
      <c r="IB600" s="8"/>
      <c r="IC600" s="8"/>
      <c r="ID600" s="8"/>
      <c r="IE600" s="8"/>
      <c r="IF600" s="8"/>
      <c r="IG600" s="8"/>
      <c r="IH600" s="8"/>
      <c r="II600" s="8"/>
      <c r="IJ600" s="8"/>
      <c r="IK600" s="8"/>
      <c r="IL600" s="8"/>
      <c r="IM600" s="8"/>
      <c r="IN600" s="8"/>
      <c r="IO600" s="8"/>
      <c r="IP600" s="8"/>
      <c r="IQ600" s="8"/>
      <c r="IR600" s="8"/>
      <c r="IS600" s="8"/>
      <c r="IT600" s="8"/>
      <c r="IU600" s="8"/>
      <c r="IV600" s="8"/>
    </row>
    <row r="601" ht="12.75" customHeight="1">
      <c r="A601" s="8"/>
      <c r="HT601" s="8"/>
      <c r="HU601" s="8"/>
      <c r="HV601" s="8"/>
      <c r="HW601" s="8"/>
      <c r="HX601" s="8"/>
      <c r="HY601" s="8"/>
      <c r="HZ601" s="8"/>
      <c r="IA601" s="8"/>
      <c r="IB601" s="8"/>
      <c r="IC601" s="8"/>
      <c r="ID601" s="8"/>
      <c r="IE601" s="8"/>
      <c r="IF601" s="8"/>
      <c r="IG601" s="8"/>
      <c r="IH601" s="8"/>
      <c r="II601" s="8"/>
      <c r="IJ601" s="8"/>
      <c r="IK601" s="8"/>
      <c r="IL601" s="8"/>
      <c r="IM601" s="8"/>
      <c r="IN601" s="8"/>
      <c r="IO601" s="8"/>
      <c r="IP601" s="8"/>
      <c r="IQ601" s="8"/>
      <c r="IR601" s="8"/>
      <c r="IS601" s="8"/>
      <c r="IT601" s="8"/>
      <c r="IU601" s="8"/>
      <c r="IV601" s="8"/>
    </row>
    <row r="602" ht="12.75" customHeight="1">
      <c r="A602" s="8"/>
      <c r="HT602" s="8"/>
      <c r="HU602" s="8"/>
      <c r="HV602" s="8"/>
      <c r="HW602" s="8"/>
      <c r="HX602" s="8"/>
      <c r="HY602" s="8"/>
      <c r="HZ602" s="8"/>
      <c r="IA602" s="8"/>
      <c r="IB602" s="8"/>
      <c r="IC602" s="8"/>
      <c r="ID602" s="8"/>
      <c r="IE602" s="8"/>
      <c r="IF602" s="8"/>
      <c r="IG602" s="8"/>
      <c r="IH602" s="8"/>
      <c r="II602" s="8"/>
      <c r="IJ602" s="8"/>
      <c r="IK602" s="8"/>
      <c r="IL602" s="8"/>
      <c r="IM602" s="8"/>
      <c r="IN602" s="8"/>
      <c r="IO602" s="8"/>
      <c r="IP602" s="8"/>
      <c r="IQ602" s="8"/>
      <c r="IR602" s="8"/>
      <c r="IS602" s="8"/>
      <c r="IT602" s="8"/>
      <c r="IU602" s="8"/>
      <c r="IV602" s="8"/>
    </row>
    <row r="603" ht="12.75" customHeight="1">
      <c r="A603" s="8"/>
      <c r="HT603" s="8"/>
      <c r="HU603" s="8"/>
      <c r="HV603" s="8"/>
      <c r="HW603" s="8"/>
      <c r="HX603" s="8"/>
      <c r="HY603" s="8"/>
      <c r="HZ603" s="8"/>
      <c r="IA603" s="8"/>
      <c r="IB603" s="8"/>
      <c r="IC603" s="8"/>
      <c r="ID603" s="8"/>
      <c r="IE603" s="8"/>
      <c r="IF603" s="8"/>
      <c r="IG603" s="8"/>
      <c r="IH603" s="8"/>
      <c r="II603" s="8"/>
      <c r="IJ603" s="8"/>
      <c r="IK603" s="8"/>
      <c r="IL603" s="8"/>
      <c r="IM603" s="8"/>
      <c r="IN603" s="8"/>
      <c r="IO603" s="8"/>
      <c r="IP603" s="8"/>
      <c r="IQ603" s="8"/>
      <c r="IR603" s="8"/>
      <c r="IS603" s="8"/>
      <c r="IT603" s="8"/>
      <c r="IU603" s="8"/>
      <c r="IV603" s="8"/>
    </row>
    <row r="604" ht="12.75" customHeight="1">
      <c r="A604" s="8"/>
      <c r="HT604" s="8"/>
      <c r="HU604" s="8"/>
      <c r="HV604" s="8"/>
      <c r="HW604" s="8"/>
      <c r="HX604" s="8"/>
      <c r="HY604" s="8"/>
      <c r="HZ604" s="8"/>
      <c r="IA604" s="8"/>
      <c r="IB604" s="8"/>
      <c r="IC604" s="8"/>
      <c r="ID604" s="8"/>
      <c r="IE604" s="8"/>
      <c r="IF604" s="8"/>
      <c r="IG604" s="8"/>
      <c r="IH604" s="8"/>
      <c r="II604" s="8"/>
      <c r="IJ604" s="8"/>
      <c r="IK604" s="8"/>
      <c r="IL604" s="8"/>
      <c r="IM604" s="8"/>
      <c r="IN604" s="8"/>
      <c r="IO604" s="8"/>
      <c r="IP604" s="8"/>
      <c r="IQ604" s="8"/>
      <c r="IR604" s="8"/>
      <c r="IS604" s="8"/>
      <c r="IT604" s="8"/>
      <c r="IU604" s="8"/>
      <c r="IV604" s="8"/>
    </row>
    <row r="605" ht="12.75" customHeight="1">
      <c r="A605" s="8"/>
      <c r="HT605" s="8"/>
      <c r="HU605" s="8"/>
      <c r="HV605" s="8"/>
      <c r="HW605" s="8"/>
      <c r="HX605" s="8"/>
      <c r="HY605" s="8"/>
      <c r="HZ605" s="8"/>
      <c r="IA605" s="8"/>
      <c r="IB605" s="8"/>
      <c r="IC605" s="8"/>
      <c r="ID605" s="8"/>
      <c r="IE605" s="8"/>
      <c r="IF605" s="8"/>
      <c r="IG605" s="8"/>
      <c r="IH605" s="8"/>
      <c r="II605" s="8"/>
      <c r="IJ605" s="8"/>
      <c r="IK605" s="8"/>
      <c r="IL605" s="8"/>
      <c r="IM605" s="8"/>
      <c r="IN605" s="8"/>
      <c r="IO605" s="8"/>
      <c r="IP605" s="8"/>
      <c r="IQ605" s="8"/>
      <c r="IR605" s="8"/>
      <c r="IS605" s="8"/>
      <c r="IT605" s="8"/>
      <c r="IU605" s="8"/>
      <c r="IV605" s="8"/>
    </row>
    <row r="606" ht="12.75" customHeight="1">
      <c r="A606" s="8"/>
      <c r="HT606" s="8"/>
      <c r="HU606" s="8"/>
      <c r="HV606" s="8"/>
      <c r="HW606" s="8"/>
      <c r="HX606" s="8"/>
      <c r="HY606" s="8"/>
      <c r="HZ606" s="8"/>
      <c r="IA606" s="8"/>
      <c r="IB606" s="8"/>
      <c r="IC606" s="8"/>
      <c r="ID606" s="8"/>
      <c r="IE606" s="8"/>
      <c r="IF606" s="8"/>
      <c r="IG606" s="8"/>
      <c r="IH606" s="8"/>
      <c r="II606" s="8"/>
      <c r="IJ606" s="8"/>
      <c r="IK606" s="8"/>
      <c r="IL606" s="8"/>
      <c r="IM606" s="8"/>
      <c r="IN606" s="8"/>
      <c r="IO606" s="8"/>
      <c r="IP606" s="8"/>
      <c r="IQ606" s="8"/>
      <c r="IR606" s="8"/>
      <c r="IS606" s="8"/>
      <c r="IT606" s="8"/>
      <c r="IU606" s="8"/>
      <c r="IV606" s="8"/>
    </row>
    <row r="607" ht="12.75" customHeight="1">
      <c r="A607" s="8"/>
      <c r="HT607" s="8"/>
      <c r="HU607" s="8"/>
      <c r="HV607" s="8"/>
      <c r="HW607" s="8"/>
      <c r="HX607" s="8"/>
      <c r="HY607" s="8"/>
      <c r="HZ607" s="8"/>
      <c r="IA607" s="8"/>
      <c r="IB607" s="8"/>
      <c r="IC607" s="8"/>
      <c r="ID607" s="8"/>
      <c r="IE607" s="8"/>
      <c r="IF607" s="8"/>
      <c r="IG607" s="8"/>
      <c r="IH607" s="8"/>
      <c r="II607" s="8"/>
      <c r="IJ607" s="8"/>
      <c r="IK607" s="8"/>
      <c r="IL607" s="8"/>
      <c r="IM607" s="8"/>
      <c r="IN607" s="8"/>
      <c r="IO607" s="8"/>
      <c r="IP607" s="8"/>
      <c r="IQ607" s="8"/>
      <c r="IR607" s="8"/>
      <c r="IS607" s="8"/>
      <c r="IT607" s="8"/>
      <c r="IU607" s="8"/>
      <c r="IV607" s="8"/>
    </row>
    <row r="608" ht="12.75" customHeight="1">
      <c r="A608" s="8"/>
      <c r="HT608" s="8"/>
      <c r="HU608" s="8"/>
      <c r="HV608" s="8"/>
      <c r="HW608" s="8"/>
      <c r="HX608" s="8"/>
      <c r="HY608" s="8"/>
      <c r="HZ608" s="8"/>
      <c r="IA608" s="8"/>
      <c r="IB608" s="8"/>
      <c r="IC608" s="8"/>
      <c r="ID608" s="8"/>
      <c r="IE608" s="8"/>
      <c r="IF608" s="8"/>
      <c r="IG608" s="8"/>
      <c r="IH608" s="8"/>
      <c r="II608" s="8"/>
      <c r="IJ608" s="8"/>
      <c r="IK608" s="8"/>
      <c r="IL608" s="8"/>
      <c r="IM608" s="8"/>
      <c r="IN608" s="8"/>
      <c r="IO608" s="8"/>
      <c r="IP608" s="8"/>
      <c r="IQ608" s="8"/>
      <c r="IR608" s="8"/>
      <c r="IS608" s="8"/>
      <c r="IT608" s="8"/>
      <c r="IU608" s="8"/>
      <c r="IV608" s="8"/>
    </row>
    <row r="609" ht="12.75" customHeight="1">
      <c r="A609" s="8"/>
      <c r="HT609" s="8"/>
      <c r="HU609" s="8"/>
      <c r="HV609" s="8"/>
      <c r="HW609" s="8"/>
      <c r="HX609" s="8"/>
      <c r="HY609" s="8"/>
      <c r="HZ609" s="8"/>
      <c r="IA609" s="8"/>
      <c r="IB609" s="8"/>
      <c r="IC609" s="8"/>
      <c r="ID609" s="8"/>
      <c r="IE609" s="8"/>
      <c r="IF609" s="8"/>
      <c r="IG609" s="8"/>
      <c r="IH609" s="8"/>
      <c r="II609" s="8"/>
      <c r="IJ609" s="8"/>
      <c r="IK609" s="8"/>
      <c r="IL609" s="8"/>
      <c r="IM609" s="8"/>
      <c r="IN609" s="8"/>
      <c r="IO609" s="8"/>
      <c r="IP609" s="8"/>
      <c r="IQ609" s="8"/>
      <c r="IR609" s="8"/>
      <c r="IS609" s="8"/>
      <c r="IT609" s="8"/>
      <c r="IU609" s="8"/>
      <c r="IV609" s="8"/>
    </row>
    <row r="610" ht="12.75" customHeight="1">
      <c r="A610" s="8"/>
      <c r="HT610" s="8"/>
      <c r="HU610" s="8"/>
      <c r="HV610" s="8"/>
      <c r="HW610" s="8"/>
      <c r="HX610" s="8"/>
      <c r="HY610" s="8"/>
      <c r="HZ610" s="8"/>
      <c r="IA610" s="8"/>
      <c r="IB610" s="8"/>
      <c r="IC610" s="8"/>
      <c r="ID610" s="8"/>
      <c r="IE610" s="8"/>
      <c r="IF610" s="8"/>
      <c r="IG610" s="8"/>
      <c r="IH610" s="8"/>
      <c r="II610" s="8"/>
      <c r="IJ610" s="8"/>
      <c r="IK610" s="8"/>
      <c r="IL610" s="8"/>
      <c r="IM610" s="8"/>
      <c r="IN610" s="8"/>
      <c r="IO610" s="8"/>
      <c r="IP610" s="8"/>
      <c r="IQ610" s="8"/>
      <c r="IR610" s="8"/>
      <c r="IS610" s="8"/>
      <c r="IT610" s="8"/>
      <c r="IU610" s="8"/>
      <c r="IV610" s="8"/>
    </row>
    <row r="611" ht="12.75" customHeight="1">
      <c r="A611" s="8"/>
      <c r="HT611" s="8"/>
      <c r="HU611" s="8"/>
      <c r="HV611" s="8"/>
      <c r="HW611" s="8"/>
      <c r="HX611" s="8"/>
      <c r="HY611" s="8"/>
      <c r="HZ611" s="8"/>
      <c r="IA611" s="8"/>
      <c r="IB611" s="8"/>
      <c r="IC611" s="8"/>
      <c r="ID611" s="8"/>
      <c r="IE611" s="8"/>
      <c r="IF611" s="8"/>
      <c r="IG611" s="8"/>
      <c r="IH611" s="8"/>
      <c r="II611" s="8"/>
      <c r="IJ611" s="8"/>
      <c r="IK611" s="8"/>
      <c r="IL611" s="8"/>
      <c r="IM611" s="8"/>
      <c r="IN611" s="8"/>
      <c r="IO611" s="8"/>
      <c r="IP611" s="8"/>
      <c r="IQ611" s="8"/>
      <c r="IR611" s="8"/>
      <c r="IS611" s="8"/>
      <c r="IT611" s="8"/>
      <c r="IU611" s="8"/>
      <c r="IV611" s="8"/>
    </row>
    <row r="612" ht="12.75" customHeight="1">
      <c r="A612" s="8"/>
      <c r="HT612" s="8"/>
      <c r="HU612" s="8"/>
      <c r="HV612" s="8"/>
      <c r="HW612" s="8"/>
      <c r="HX612" s="8"/>
      <c r="HY612" s="8"/>
      <c r="HZ612" s="8"/>
      <c r="IA612" s="8"/>
      <c r="IB612" s="8"/>
      <c r="IC612" s="8"/>
      <c r="ID612" s="8"/>
      <c r="IE612" s="8"/>
      <c r="IF612" s="8"/>
      <c r="IG612" s="8"/>
      <c r="IH612" s="8"/>
      <c r="II612" s="8"/>
      <c r="IJ612" s="8"/>
      <c r="IK612" s="8"/>
      <c r="IL612" s="8"/>
      <c r="IM612" s="8"/>
      <c r="IN612" s="8"/>
      <c r="IO612" s="8"/>
      <c r="IP612" s="8"/>
      <c r="IQ612" s="8"/>
      <c r="IR612" s="8"/>
      <c r="IS612" s="8"/>
      <c r="IT612" s="8"/>
      <c r="IU612" s="8"/>
      <c r="IV612" s="8"/>
    </row>
    <row r="613" ht="12.75" customHeight="1">
      <c r="A613" s="8"/>
      <c r="HT613" s="8"/>
      <c r="HU613" s="8"/>
      <c r="HV613" s="8"/>
      <c r="HW613" s="8"/>
      <c r="HX613" s="8"/>
      <c r="HY613" s="8"/>
      <c r="HZ613" s="8"/>
      <c r="IA613" s="8"/>
      <c r="IB613" s="8"/>
      <c r="IC613" s="8"/>
      <c r="ID613" s="8"/>
      <c r="IE613" s="8"/>
      <c r="IF613" s="8"/>
      <c r="IG613" s="8"/>
      <c r="IH613" s="8"/>
      <c r="II613" s="8"/>
      <c r="IJ613" s="8"/>
      <c r="IK613" s="8"/>
      <c r="IL613" s="8"/>
      <c r="IM613" s="8"/>
      <c r="IN613" s="8"/>
      <c r="IO613" s="8"/>
      <c r="IP613" s="8"/>
      <c r="IQ613" s="8"/>
      <c r="IR613" s="8"/>
      <c r="IS613" s="8"/>
      <c r="IT613" s="8"/>
      <c r="IU613" s="8"/>
      <c r="IV613" s="8"/>
    </row>
    <row r="614" ht="12.75" customHeight="1">
      <c r="A614" s="8"/>
      <c r="HT614" s="8"/>
      <c r="HU614" s="8"/>
      <c r="HV614" s="8"/>
      <c r="HW614" s="8"/>
      <c r="HX614" s="8"/>
      <c r="HY614" s="8"/>
      <c r="HZ614" s="8"/>
      <c r="IA614" s="8"/>
      <c r="IB614" s="8"/>
      <c r="IC614" s="8"/>
      <c r="ID614" s="8"/>
      <c r="IE614" s="8"/>
      <c r="IF614" s="8"/>
      <c r="IG614" s="8"/>
      <c r="IH614" s="8"/>
      <c r="II614" s="8"/>
      <c r="IJ614" s="8"/>
      <c r="IK614" s="8"/>
      <c r="IL614" s="8"/>
      <c r="IM614" s="8"/>
      <c r="IN614" s="8"/>
      <c r="IO614" s="8"/>
      <c r="IP614" s="8"/>
      <c r="IQ614" s="8"/>
      <c r="IR614" s="8"/>
      <c r="IS614" s="8"/>
      <c r="IT614" s="8"/>
      <c r="IU614" s="8"/>
      <c r="IV614" s="8"/>
    </row>
    <row r="615" ht="12.75" customHeight="1">
      <c r="A615" s="8"/>
      <c r="HT615" s="8"/>
      <c r="HU615" s="8"/>
      <c r="HV615" s="8"/>
      <c r="HW615" s="8"/>
      <c r="HX615" s="8"/>
      <c r="HY615" s="8"/>
      <c r="HZ615" s="8"/>
      <c r="IA615" s="8"/>
      <c r="IB615" s="8"/>
      <c r="IC615" s="8"/>
      <c r="ID615" s="8"/>
      <c r="IE615" s="8"/>
      <c r="IF615" s="8"/>
      <c r="IG615" s="8"/>
      <c r="IH615" s="8"/>
      <c r="II615" s="8"/>
      <c r="IJ615" s="8"/>
      <c r="IK615" s="8"/>
      <c r="IL615" s="8"/>
      <c r="IM615" s="8"/>
      <c r="IN615" s="8"/>
      <c r="IO615" s="8"/>
      <c r="IP615" s="8"/>
      <c r="IQ615" s="8"/>
      <c r="IR615" s="8"/>
      <c r="IS615" s="8"/>
      <c r="IT615" s="8"/>
      <c r="IU615" s="8"/>
      <c r="IV615" s="8"/>
    </row>
    <row r="616" ht="12.75" customHeight="1">
      <c r="A616" s="8"/>
      <c r="HT616" s="8"/>
      <c r="HU616" s="8"/>
      <c r="HV616" s="8"/>
      <c r="HW616" s="8"/>
      <c r="HX616" s="8"/>
      <c r="HY616" s="8"/>
      <c r="HZ616" s="8"/>
      <c r="IA616" s="8"/>
      <c r="IB616" s="8"/>
      <c r="IC616" s="8"/>
      <c r="ID616" s="8"/>
      <c r="IE616" s="8"/>
      <c r="IF616" s="8"/>
      <c r="IG616" s="8"/>
      <c r="IH616" s="8"/>
      <c r="II616" s="8"/>
      <c r="IJ616" s="8"/>
      <c r="IK616" s="8"/>
      <c r="IL616" s="8"/>
      <c r="IM616" s="8"/>
      <c r="IN616" s="8"/>
      <c r="IO616" s="8"/>
      <c r="IP616" s="8"/>
      <c r="IQ616" s="8"/>
      <c r="IR616" s="8"/>
      <c r="IS616" s="8"/>
      <c r="IT616" s="8"/>
      <c r="IU616" s="8"/>
      <c r="IV616" s="8"/>
    </row>
    <row r="617" ht="12.75" customHeight="1">
      <c r="A617" s="8"/>
      <c r="HT617" s="8"/>
      <c r="HU617" s="8"/>
      <c r="HV617" s="8"/>
      <c r="HW617" s="8"/>
      <c r="HX617" s="8"/>
      <c r="HY617" s="8"/>
      <c r="HZ617" s="8"/>
      <c r="IA617" s="8"/>
      <c r="IB617" s="8"/>
      <c r="IC617" s="8"/>
      <c r="ID617" s="8"/>
      <c r="IE617" s="8"/>
      <c r="IF617" s="8"/>
      <c r="IG617" s="8"/>
      <c r="IH617" s="8"/>
      <c r="II617" s="8"/>
      <c r="IJ617" s="8"/>
      <c r="IK617" s="8"/>
      <c r="IL617" s="8"/>
      <c r="IM617" s="8"/>
      <c r="IN617" s="8"/>
      <c r="IO617" s="8"/>
      <c r="IP617" s="8"/>
      <c r="IQ617" s="8"/>
      <c r="IR617" s="8"/>
      <c r="IS617" s="8"/>
      <c r="IT617" s="8"/>
      <c r="IU617" s="8"/>
      <c r="IV617" s="8"/>
    </row>
    <row r="618" ht="12.75" customHeight="1">
      <c r="A618" s="8"/>
      <c r="HT618" s="8"/>
      <c r="HU618" s="8"/>
      <c r="HV618" s="8"/>
      <c r="HW618" s="8"/>
      <c r="HX618" s="8"/>
      <c r="HY618" s="8"/>
      <c r="HZ618" s="8"/>
      <c r="IA618" s="8"/>
      <c r="IB618" s="8"/>
      <c r="IC618" s="8"/>
      <c r="ID618" s="8"/>
      <c r="IE618" s="8"/>
      <c r="IF618" s="8"/>
      <c r="IG618" s="8"/>
      <c r="IH618" s="8"/>
      <c r="II618" s="8"/>
      <c r="IJ618" s="8"/>
      <c r="IK618" s="8"/>
      <c r="IL618" s="8"/>
      <c r="IM618" s="8"/>
      <c r="IN618" s="8"/>
      <c r="IO618" s="8"/>
      <c r="IP618" s="8"/>
      <c r="IQ618" s="8"/>
      <c r="IR618" s="8"/>
      <c r="IS618" s="8"/>
      <c r="IT618" s="8"/>
      <c r="IU618" s="8"/>
      <c r="IV618" s="8"/>
    </row>
    <row r="619" ht="12.75" customHeight="1">
      <c r="A619" s="8"/>
      <c r="HT619" s="8"/>
      <c r="HU619" s="8"/>
      <c r="HV619" s="8"/>
      <c r="HW619" s="8"/>
      <c r="HX619" s="8"/>
      <c r="HY619" s="8"/>
      <c r="HZ619" s="8"/>
      <c r="IA619" s="8"/>
      <c r="IB619" s="8"/>
      <c r="IC619" s="8"/>
      <c r="ID619" s="8"/>
      <c r="IE619" s="8"/>
      <c r="IF619" s="8"/>
      <c r="IG619" s="8"/>
      <c r="IH619" s="8"/>
      <c r="II619" s="8"/>
      <c r="IJ619" s="8"/>
      <c r="IK619" s="8"/>
      <c r="IL619" s="8"/>
      <c r="IM619" s="8"/>
      <c r="IN619" s="8"/>
      <c r="IO619" s="8"/>
      <c r="IP619" s="8"/>
      <c r="IQ619" s="8"/>
      <c r="IR619" s="8"/>
      <c r="IS619" s="8"/>
      <c r="IT619" s="8"/>
      <c r="IU619" s="8"/>
      <c r="IV619" s="8"/>
    </row>
    <row r="620" ht="12.75" customHeight="1">
      <c r="A620" s="8"/>
      <c r="HT620" s="8"/>
      <c r="HU620" s="8"/>
      <c r="HV620" s="8"/>
      <c r="HW620" s="8"/>
      <c r="HX620" s="8"/>
      <c r="HY620" s="8"/>
      <c r="HZ620" s="8"/>
      <c r="IA620" s="8"/>
      <c r="IB620" s="8"/>
      <c r="IC620" s="8"/>
      <c r="ID620" s="8"/>
      <c r="IE620" s="8"/>
      <c r="IF620" s="8"/>
      <c r="IG620" s="8"/>
      <c r="IH620" s="8"/>
      <c r="II620" s="8"/>
      <c r="IJ620" s="8"/>
      <c r="IK620" s="8"/>
      <c r="IL620" s="8"/>
      <c r="IM620" s="8"/>
      <c r="IN620" s="8"/>
      <c r="IO620" s="8"/>
      <c r="IP620" s="8"/>
      <c r="IQ620" s="8"/>
      <c r="IR620" s="8"/>
      <c r="IS620" s="8"/>
      <c r="IT620" s="8"/>
      <c r="IU620" s="8"/>
      <c r="IV620" s="8"/>
    </row>
    <row r="621" ht="12.75" customHeight="1">
      <c r="A621" s="8"/>
      <c r="HT621" s="8"/>
      <c r="HU621" s="8"/>
      <c r="HV621" s="8"/>
      <c r="HW621" s="8"/>
      <c r="HX621" s="8"/>
      <c r="HY621" s="8"/>
      <c r="HZ621" s="8"/>
      <c r="IA621" s="8"/>
      <c r="IB621" s="8"/>
      <c r="IC621" s="8"/>
      <c r="ID621" s="8"/>
      <c r="IE621" s="8"/>
      <c r="IF621" s="8"/>
      <c r="IG621" s="8"/>
      <c r="IH621" s="8"/>
      <c r="II621" s="8"/>
      <c r="IJ621" s="8"/>
      <c r="IK621" s="8"/>
      <c r="IL621" s="8"/>
      <c r="IM621" s="8"/>
      <c r="IN621" s="8"/>
      <c r="IO621" s="8"/>
      <c r="IP621" s="8"/>
      <c r="IQ621" s="8"/>
      <c r="IR621" s="8"/>
      <c r="IS621" s="8"/>
      <c r="IT621" s="8"/>
      <c r="IU621" s="8"/>
      <c r="IV621" s="8"/>
    </row>
    <row r="622" ht="12.75" customHeight="1">
      <c r="A622" s="8"/>
      <c r="HT622" s="8"/>
      <c r="HU622" s="8"/>
      <c r="HV622" s="8"/>
      <c r="HW622" s="8"/>
      <c r="HX622" s="8"/>
      <c r="HY622" s="8"/>
      <c r="HZ622" s="8"/>
      <c r="IA622" s="8"/>
      <c r="IB622" s="8"/>
      <c r="IC622" s="8"/>
      <c r="ID622" s="8"/>
      <c r="IE622" s="8"/>
      <c r="IF622" s="8"/>
      <c r="IG622" s="8"/>
      <c r="IH622" s="8"/>
      <c r="II622" s="8"/>
      <c r="IJ622" s="8"/>
      <c r="IK622" s="8"/>
      <c r="IL622" s="8"/>
      <c r="IM622" s="8"/>
      <c r="IN622" s="8"/>
      <c r="IO622" s="8"/>
      <c r="IP622" s="8"/>
      <c r="IQ622" s="8"/>
      <c r="IR622" s="8"/>
      <c r="IS622" s="8"/>
      <c r="IT622" s="8"/>
      <c r="IU622" s="8"/>
      <c r="IV622" s="8"/>
    </row>
    <row r="623" ht="12.75" customHeight="1">
      <c r="A623" s="8"/>
      <c r="HT623" s="8"/>
      <c r="HU623" s="8"/>
      <c r="HV623" s="8"/>
      <c r="HW623" s="8"/>
      <c r="HX623" s="8"/>
      <c r="HY623" s="8"/>
      <c r="HZ623" s="8"/>
      <c r="IA623" s="8"/>
      <c r="IB623" s="8"/>
      <c r="IC623" s="8"/>
      <c r="ID623" s="8"/>
      <c r="IE623" s="8"/>
      <c r="IF623" s="8"/>
      <c r="IG623" s="8"/>
      <c r="IH623" s="8"/>
      <c r="II623" s="8"/>
      <c r="IJ623" s="8"/>
      <c r="IK623" s="8"/>
      <c r="IL623" s="8"/>
      <c r="IM623" s="8"/>
      <c r="IN623" s="8"/>
      <c r="IO623" s="8"/>
      <c r="IP623" s="8"/>
      <c r="IQ623" s="8"/>
      <c r="IR623" s="8"/>
      <c r="IS623" s="8"/>
      <c r="IT623" s="8"/>
      <c r="IU623" s="8"/>
      <c r="IV623" s="8"/>
    </row>
    <row r="624" ht="12.75" customHeight="1">
      <c r="A624" s="8"/>
      <c r="HT624" s="8"/>
      <c r="HU624" s="8"/>
      <c r="HV624" s="8"/>
      <c r="HW624" s="8"/>
      <c r="HX624" s="8"/>
      <c r="HY624" s="8"/>
      <c r="HZ624" s="8"/>
      <c r="IA624" s="8"/>
      <c r="IB624" s="8"/>
      <c r="IC624" s="8"/>
      <c r="ID624" s="8"/>
      <c r="IE624" s="8"/>
      <c r="IF624" s="8"/>
      <c r="IG624" s="8"/>
      <c r="IH624" s="8"/>
      <c r="II624" s="8"/>
      <c r="IJ624" s="8"/>
      <c r="IK624" s="8"/>
      <c r="IL624" s="8"/>
      <c r="IM624" s="8"/>
      <c r="IN624" s="8"/>
      <c r="IO624" s="8"/>
      <c r="IP624" s="8"/>
      <c r="IQ624" s="8"/>
      <c r="IR624" s="8"/>
      <c r="IS624" s="8"/>
      <c r="IT624" s="8"/>
      <c r="IU624" s="8"/>
      <c r="IV624" s="8"/>
    </row>
    <row r="625" ht="12.75" customHeight="1">
      <c r="A625" s="8"/>
      <c r="HT625" s="8"/>
      <c r="HU625" s="8"/>
      <c r="HV625" s="8"/>
      <c r="HW625" s="8"/>
      <c r="HX625" s="8"/>
      <c r="HY625" s="8"/>
      <c r="HZ625" s="8"/>
      <c r="IA625" s="8"/>
      <c r="IB625" s="8"/>
      <c r="IC625" s="8"/>
      <c r="ID625" s="8"/>
      <c r="IE625" s="8"/>
      <c r="IF625" s="8"/>
      <c r="IG625" s="8"/>
      <c r="IH625" s="8"/>
      <c r="II625" s="8"/>
      <c r="IJ625" s="8"/>
      <c r="IK625" s="8"/>
      <c r="IL625" s="8"/>
      <c r="IM625" s="8"/>
      <c r="IN625" s="8"/>
      <c r="IO625" s="8"/>
      <c r="IP625" s="8"/>
      <c r="IQ625" s="8"/>
      <c r="IR625" s="8"/>
      <c r="IS625" s="8"/>
      <c r="IT625" s="8"/>
      <c r="IU625" s="8"/>
      <c r="IV625" s="8"/>
    </row>
    <row r="626" ht="12.75" customHeight="1">
      <c r="A626" s="8"/>
      <c r="HT626" s="8"/>
      <c r="HU626" s="8"/>
      <c r="HV626" s="8"/>
      <c r="HW626" s="8"/>
      <c r="HX626" s="8"/>
      <c r="HY626" s="8"/>
      <c r="HZ626" s="8"/>
      <c r="IA626" s="8"/>
      <c r="IB626" s="8"/>
      <c r="IC626" s="8"/>
      <c r="ID626" s="8"/>
      <c r="IE626" s="8"/>
      <c r="IF626" s="8"/>
      <c r="IG626" s="8"/>
      <c r="IH626" s="8"/>
      <c r="II626" s="8"/>
      <c r="IJ626" s="8"/>
      <c r="IK626" s="8"/>
      <c r="IL626" s="8"/>
      <c r="IM626" s="8"/>
      <c r="IN626" s="8"/>
      <c r="IO626" s="8"/>
      <c r="IP626" s="8"/>
      <c r="IQ626" s="8"/>
      <c r="IR626" s="8"/>
      <c r="IS626" s="8"/>
      <c r="IT626" s="8"/>
      <c r="IU626" s="8"/>
      <c r="IV626" s="8"/>
    </row>
    <row r="627" ht="12.75" customHeight="1">
      <c r="A627" s="8"/>
      <c r="HT627" s="8"/>
      <c r="HU627" s="8"/>
      <c r="HV627" s="8"/>
      <c r="HW627" s="8"/>
      <c r="HX627" s="8"/>
      <c r="HY627" s="8"/>
      <c r="HZ627" s="8"/>
      <c r="IA627" s="8"/>
      <c r="IB627" s="8"/>
      <c r="IC627" s="8"/>
      <c r="ID627" s="8"/>
      <c r="IE627" s="8"/>
      <c r="IF627" s="8"/>
      <c r="IG627" s="8"/>
      <c r="IH627" s="8"/>
      <c r="II627" s="8"/>
      <c r="IJ627" s="8"/>
      <c r="IK627" s="8"/>
      <c r="IL627" s="8"/>
      <c r="IM627" s="8"/>
      <c r="IN627" s="8"/>
      <c r="IO627" s="8"/>
      <c r="IP627" s="8"/>
      <c r="IQ627" s="8"/>
      <c r="IR627" s="8"/>
      <c r="IS627" s="8"/>
      <c r="IT627" s="8"/>
      <c r="IU627" s="8"/>
      <c r="IV627" s="8"/>
    </row>
    <row r="628" ht="12.75" customHeight="1">
      <c r="A628" s="8"/>
      <c r="HT628" s="8"/>
      <c r="HU628" s="8"/>
      <c r="HV628" s="8"/>
      <c r="HW628" s="8"/>
      <c r="HX628" s="8"/>
      <c r="HY628" s="8"/>
      <c r="HZ628" s="8"/>
      <c r="IA628" s="8"/>
      <c r="IB628" s="8"/>
      <c r="IC628" s="8"/>
      <c r="ID628" s="8"/>
      <c r="IE628" s="8"/>
      <c r="IF628" s="8"/>
      <c r="IG628" s="8"/>
      <c r="IH628" s="8"/>
      <c r="II628" s="8"/>
      <c r="IJ628" s="8"/>
      <c r="IK628" s="8"/>
      <c r="IL628" s="8"/>
      <c r="IM628" s="8"/>
      <c r="IN628" s="8"/>
      <c r="IO628" s="8"/>
      <c r="IP628" s="8"/>
      <c r="IQ628" s="8"/>
      <c r="IR628" s="8"/>
      <c r="IS628" s="8"/>
      <c r="IT628" s="8"/>
      <c r="IU628" s="8"/>
      <c r="IV628" s="8"/>
    </row>
    <row r="629" ht="12.75" customHeight="1">
      <c r="A629" s="8"/>
      <c r="HT629" s="8"/>
      <c r="HU629" s="8"/>
      <c r="HV629" s="8"/>
      <c r="HW629" s="8"/>
      <c r="HX629" s="8"/>
      <c r="HY629" s="8"/>
      <c r="HZ629" s="8"/>
      <c r="IA629" s="8"/>
      <c r="IB629" s="8"/>
      <c r="IC629" s="8"/>
      <c r="ID629" s="8"/>
      <c r="IE629" s="8"/>
      <c r="IF629" s="8"/>
      <c r="IG629" s="8"/>
      <c r="IH629" s="8"/>
      <c r="II629" s="8"/>
      <c r="IJ629" s="8"/>
      <c r="IK629" s="8"/>
      <c r="IL629" s="8"/>
      <c r="IM629" s="8"/>
      <c r="IN629" s="8"/>
      <c r="IO629" s="8"/>
      <c r="IP629" s="8"/>
      <c r="IQ629" s="8"/>
      <c r="IR629" s="8"/>
      <c r="IS629" s="8"/>
      <c r="IT629" s="8"/>
      <c r="IU629" s="8"/>
      <c r="IV629" s="8"/>
    </row>
    <row r="630" ht="12.75" customHeight="1">
      <c r="A630" s="8"/>
      <c r="HT630" s="8"/>
      <c r="HU630" s="8"/>
      <c r="HV630" s="8"/>
      <c r="HW630" s="8"/>
      <c r="HX630" s="8"/>
      <c r="HY630" s="8"/>
      <c r="HZ630" s="8"/>
      <c r="IA630" s="8"/>
      <c r="IB630" s="8"/>
      <c r="IC630" s="8"/>
      <c r="ID630" s="8"/>
      <c r="IE630" s="8"/>
      <c r="IF630" s="8"/>
      <c r="IG630" s="8"/>
      <c r="IH630" s="8"/>
      <c r="II630" s="8"/>
      <c r="IJ630" s="8"/>
      <c r="IK630" s="8"/>
      <c r="IL630" s="8"/>
      <c r="IM630" s="8"/>
      <c r="IN630" s="8"/>
      <c r="IO630" s="8"/>
      <c r="IP630" s="8"/>
      <c r="IQ630" s="8"/>
      <c r="IR630" s="8"/>
      <c r="IS630" s="8"/>
      <c r="IT630" s="8"/>
      <c r="IU630" s="8"/>
      <c r="IV630" s="8"/>
    </row>
    <row r="631" ht="12.75" customHeight="1">
      <c r="A631" s="8"/>
      <c r="HT631" s="8"/>
      <c r="HU631" s="8"/>
      <c r="HV631" s="8"/>
      <c r="HW631" s="8"/>
      <c r="HX631" s="8"/>
      <c r="HY631" s="8"/>
      <c r="HZ631" s="8"/>
      <c r="IA631" s="8"/>
      <c r="IB631" s="8"/>
      <c r="IC631" s="8"/>
      <c r="ID631" s="8"/>
      <c r="IE631" s="8"/>
      <c r="IF631" s="8"/>
      <c r="IG631" s="8"/>
      <c r="IH631" s="8"/>
      <c r="II631" s="8"/>
      <c r="IJ631" s="8"/>
      <c r="IK631" s="8"/>
      <c r="IL631" s="8"/>
      <c r="IM631" s="8"/>
      <c r="IN631" s="8"/>
      <c r="IO631" s="8"/>
      <c r="IP631" s="8"/>
      <c r="IQ631" s="8"/>
      <c r="IR631" s="8"/>
      <c r="IS631" s="8"/>
      <c r="IT631" s="8"/>
      <c r="IU631" s="8"/>
      <c r="IV631" s="8"/>
    </row>
    <row r="632" ht="12.75" customHeight="1">
      <c r="A632" s="8"/>
      <c r="HT632" s="8"/>
      <c r="HU632" s="8"/>
      <c r="HV632" s="8"/>
      <c r="HW632" s="8"/>
      <c r="HX632" s="8"/>
      <c r="HY632" s="8"/>
      <c r="HZ632" s="8"/>
      <c r="IA632" s="8"/>
      <c r="IB632" s="8"/>
      <c r="IC632" s="8"/>
      <c r="ID632" s="8"/>
      <c r="IE632" s="8"/>
      <c r="IF632" s="8"/>
      <c r="IG632" s="8"/>
      <c r="IH632" s="8"/>
      <c r="II632" s="8"/>
      <c r="IJ632" s="8"/>
      <c r="IK632" s="8"/>
      <c r="IL632" s="8"/>
      <c r="IM632" s="8"/>
      <c r="IN632" s="8"/>
      <c r="IO632" s="8"/>
      <c r="IP632" s="8"/>
      <c r="IQ632" s="8"/>
      <c r="IR632" s="8"/>
      <c r="IS632" s="8"/>
      <c r="IT632" s="8"/>
      <c r="IU632" s="8"/>
      <c r="IV632" s="8"/>
    </row>
    <row r="633" ht="12.75" customHeight="1">
      <c r="A633" s="8"/>
      <c r="HT633" s="8"/>
      <c r="HU633" s="8"/>
      <c r="HV633" s="8"/>
      <c r="HW633" s="8"/>
      <c r="HX633" s="8"/>
      <c r="HY633" s="8"/>
      <c r="HZ633" s="8"/>
      <c r="IA633" s="8"/>
      <c r="IB633" s="8"/>
      <c r="IC633" s="8"/>
      <c r="ID633" s="8"/>
      <c r="IE633" s="8"/>
      <c r="IF633" s="8"/>
      <c r="IG633" s="8"/>
      <c r="IH633" s="8"/>
      <c r="II633" s="8"/>
      <c r="IJ633" s="8"/>
      <c r="IK633" s="8"/>
      <c r="IL633" s="8"/>
      <c r="IM633" s="8"/>
      <c r="IN633" s="8"/>
      <c r="IO633" s="8"/>
      <c r="IP633" s="8"/>
      <c r="IQ633" s="8"/>
      <c r="IR633" s="8"/>
      <c r="IS633" s="8"/>
      <c r="IT633" s="8"/>
      <c r="IU633" s="8"/>
      <c r="IV633" s="8"/>
    </row>
    <row r="634" ht="12.75" customHeight="1">
      <c r="A634" s="8"/>
      <c r="HT634" s="8"/>
      <c r="HU634" s="8"/>
      <c r="HV634" s="8"/>
      <c r="HW634" s="8"/>
      <c r="HX634" s="8"/>
      <c r="HY634" s="8"/>
      <c r="HZ634" s="8"/>
      <c r="IA634" s="8"/>
      <c r="IB634" s="8"/>
      <c r="IC634" s="8"/>
      <c r="ID634" s="8"/>
      <c r="IE634" s="8"/>
      <c r="IF634" s="8"/>
      <c r="IG634" s="8"/>
      <c r="IH634" s="8"/>
      <c r="II634" s="8"/>
      <c r="IJ634" s="8"/>
      <c r="IK634" s="8"/>
      <c r="IL634" s="8"/>
      <c r="IM634" s="8"/>
      <c r="IN634" s="8"/>
      <c r="IO634" s="8"/>
      <c r="IP634" s="8"/>
      <c r="IQ634" s="8"/>
      <c r="IR634" s="8"/>
      <c r="IS634" s="8"/>
      <c r="IT634" s="8"/>
      <c r="IU634" s="8"/>
      <c r="IV634" s="8"/>
    </row>
    <row r="635" ht="12.75" customHeight="1">
      <c r="A635" s="8"/>
      <c r="HT635" s="8"/>
      <c r="HU635" s="8"/>
      <c r="HV635" s="8"/>
      <c r="HW635" s="8"/>
      <c r="HX635" s="8"/>
      <c r="HY635" s="8"/>
      <c r="HZ635" s="8"/>
      <c r="IA635" s="8"/>
      <c r="IB635" s="8"/>
      <c r="IC635" s="8"/>
      <c r="ID635" s="8"/>
      <c r="IE635" s="8"/>
      <c r="IF635" s="8"/>
      <c r="IG635" s="8"/>
      <c r="IH635" s="8"/>
      <c r="II635" s="8"/>
      <c r="IJ635" s="8"/>
      <c r="IK635" s="8"/>
      <c r="IL635" s="8"/>
      <c r="IM635" s="8"/>
      <c r="IN635" s="8"/>
      <c r="IO635" s="8"/>
      <c r="IP635" s="8"/>
      <c r="IQ635" s="8"/>
      <c r="IR635" s="8"/>
      <c r="IS635" s="8"/>
      <c r="IT635" s="8"/>
      <c r="IU635" s="8"/>
      <c r="IV635" s="8"/>
    </row>
    <row r="636" ht="12.75" customHeight="1">
      <c r="A636" s="8"/>
      <c r="HT636" s="8"/>
      <c r="HU636" s="8"/>
      <c r="HV636" s="8"/>
      <c r="HW636" s="8"/>
      <c r="HX636" s="8"/>
      <c r="HY636" s="8"/>
      <c r="HZ636" s="8"/>
      <c r="IA636" s="8"/>
      <c r="IB636" s="8"/>
      <c r="IC636" s="8"/>
      <c r="ID636" s="8"/>
      <c r="IE636" s="8"/>
      <c r="IF636" s="8"/>
      <c r="IG636" s="8"/>
      <c r="IH636" s="8"/>
      <c r="II636" s="8"/>
      <c r="IJ636" s="8"/>
      <c r="IK636" s="8"/>
      <c r="IL636" s="8"/>
      <c r="IM636" s="8"/>
      <c r="IN636" s="8"/>
      <c r="IO636" s="8"/>
      <c r="IP636" s="8"/>
      <c r="IQ636" s="8"/>
      <c r="IR636" s="8"/>
      <c r="IS636" s="8"/>
      <c r="IT636" s="8"/>
      <c r="IU636" s="8"/>
      <c r="IV636" s="8"/>
    </row>
    <row r="637" ht="12.75" customHeight="1">
      <c r="A637" s="8"/>
      <c r="HT637" s="8"/>
      <c r="HU637" s="8"/>
      <c r="HV637" s="8"/>
      <c r="HW637" s="8"/>
      <c r="HX637" s="8"/>
      <c r="HY637" s="8"/>
      <c r="HZ637" s="8"/>
      <c r="IA637" s="8"/>
      <c r="IB637" s="8"/>
      <c r="IC637" s="8"/>
      <c r="ID637" s="8"/>
      <c r="IE637" s="8"/>
      <c r="IF637" s="8"/>
      <c r="IG637" s="8"/>
      <c r="IH637" s="8"/>
      <c r="II637" s="8"/>
      <c r="IJ637" s="8"/>
      <c r="IK637" s="8"/>
      <c r="IL637" s="8"/>
      <c r="IM637" s="8"/>
      <c r="IN637" s="8"/>
      <c r="IO637" s="8"/>
      <c r="IP637" s="8"/>
      <c r="IQ637" s="8"/>
      <c r="IR637" s="8"/>
      <c r="IS637" s="8"/>
      <c r="IT637" s="8"/>
      <c r="IU637" s="8"/>
      <c r="IV637" s="8"/>
    </row>
    <row r="638" ht="12.75" customHeight="1">
      <c r="A638" s="8"/>
      <c r="HT638" s="8"/>
      <c r="HU638" s="8"/>
      <c r="HV638" s="8"/>
      <c r="HW638" s="8"/>
      <c r="HX638" s="8"/>
      <c r="HY638" s="8"/>
      <c r="HZ638" s="8"/>
      <c r="IA638" s="8"/>
      <c r="IB638" s="8"/>
      <c r="IC638" s="8"/>
      <c r="ID638" s="8"/>
      <c r="IE638" s="8"/>
      <c r="IF638" s="8"/>
      <c r="IG638" s="8"/>
      <c r="IH638" s="8"/>
      <c r="II638" s="8"/>
      <c r="IJ638" s="8"/>
      <c r="IK638" s="8"/>
      <c r="IL638" s="8"/>
      <c r="IM638" s="8"/>
      <c r="IN638" s="8"/>
      <c r="IO638" s="8"/>
      <c r="IP638" s="8"/>
      <c r="IQ638" s="8"/>
      <c r="IR638" s="8"/>
      <c r="IS638" s="8"/>
      <c r="IT638" s="8"/>
      <c r="IU638" s="8"/>
      <c r="IV638" s="8"/>
    </row>
    <row r="639" ht="12.75" customHeight="1">
      <c r="A639" s="8"/>
      <c r="HT639" s="8"/>
      <c r="HU639" s="8"/>
      <c r="HV639" s="8"/>
      <c r="HW639" s="8"/>
      <c r="HX639" s="8"/>
      <c r="HY639" s="8"/>
      <c r="HZ639" s="8"/>
      <c r="IA639" s="8"/>
      <c r="IB639" s="8"/>
      <c r="IC639" s="8"/>
      <c r="ID639" s="8"/>
      <c r="IE639" s="8"/>
      <c r="IF639" s="8"/>
      <c r="IG639" s="8"/>
      <c r="IH639" s="8"/>
      <c r="II639" s="8"/>
      <c r="IJ639" s="8"/>
      <c r="IK639" s="8"/>
      <c r="IL639" s="8"/>
      <c r="IM639" s="8"/>
      <c r="IN639" s="8"/>
      <c r="IO639" s="8"/>
      <c r="IP639" s="8"/>
      <c r="IQ639" s="8"/>
      <c r="IR639" s="8"/>
      <c r="IS639" s="8"/>
      <c r="IT639" s="8"/>
      <c r="IU639" s="8"/>
      <c r="IV639" s="8"/>
    </row>
    <row r="640" ht="12.75" customHeight="1">
      <c r="A640" s="8"/>
      <c r="HT640" s="8"/>
      <c r="HU640" s="8"/>
      <c r="HV640" s="8"/>
      <c r="HW640" s="8"/>
      <c r="HX640" s="8"/>
      <c r="HY640" s="8"/>
      <c r="HZ640" s="8"/>
      <c r="IA640" s="8"/>
      <c r="IB640" s="8"/>
      <c r="IC640" s="8"/>
      <c r="ID640" s="8"/>
      <c r="IE640" s="8"/>
      <c r="IF640" s="8"/>
      <c r="IG640" s="8"/>
      <c r="IH640" s="8"/>
      <c r="II640" s="8"/>
      <c r="IJ640" s="8"/>
      <c r="IK640" s="8"/>
      <c r="IL640" s="8"/>
      <c r="IM640" s="8"/>
      <c r="IN640" s="8"/>
      <c r="IO640" s="8"/>
      <c r="IP640" s="8"/>
      <c r="IQ640" s="8"/>
      <c r="IR640" s="8"/>
      <c r="IS640" s="8"/>
      <c r="IT640" s="8"/>
      <c r="IU640" s="8"/>
      <c r="IV640" s="8"/>
    </row>
    <row r="641" ht="12.75" customHeight="1">
      <c r="A641" s="8"/>
      <c r="HT641" s="8"/>
      <c r="HU641" s="8"/>
      <c r="HV641" s="8"/>
      <c r="HW641" s="8"/>
      <c r="HX641" s="8"/>
      <c r="HY641" s="8"/>
      <c r="HZ641" s="8"/>
      <c r="IA641" s="8"/>
      <c r="IB641" s="8"/>
      <c r="IC641" s="8"/>
      <c r="ID641" s="8"/>
      <c r="IE641" s="8"/>
      <c r="IF641" s="8"/>
      <c r="IG641" s="8"/>
      <c r="IH641" s="8"/>
      <c r="II641" s="8"/>
      <c r="IJ641" s="8"/>
      <c r="IK641" s="8"/>
      <c r="IL641" s="8"/>
      <c r="IM641" s="8"/>
      <c r="IN641" s="8"/>
      <c r="IO641" s="8"/>
      <c r="IP641" s="8"/>
      <c r="IQ641" s="8"/>
      <c r="IR641" s="8"/>
      <c r="IS641" s="8"/>
      <c r="IT641" s="8"/>
      <c r="IU641" s="8"/>
      <c r="IV641" s="8"/>
    </row>
    <row r="642" ht="12.75" customHeight="1">
      <c r="A642" s="8"/>
      <c r="HT642" s="8"/>
      <c r="HU642" s="8"/>
      <c r="HV642" s="8"/>
      <c r="HW642" s="8"/>
      <c r="HX642" s="8"/>
      <c r="HY642" s="8"/>
      <c r="HZ642" s="8"/>
      <c r="IA642" s="8"/>
      <c r="IB642" s="8"/>
      <c r="IC642" s="8"/>
      <c r="ID642" s="8"/>
      <c r="IE642" s="8"/>
      <c r="IF642" s="8"/>
      <c r="IG642" s="8"/>
      <c r="IH642" s="8"/>
      <c r="II642" s="8"/>
      <c r="IJ642" s="8"/>
      <c r="IK642" s="8"/>
      <c r="IL642" s="8"/>
      <c r="IM642" s="8"/>
      <c r="IN642" s="8"/>
      <c r="IO642" s="8"/>
      <c r="IP642" s="8"/>
      <c r="IQ642" s="8"/>
      <c r="IR642" s="8"/>
      <c r="IS642" s="8"/>
      <c r="IT642" s="8"/>
      <c r="IU642" s="8"/>
      <c r="IV642" s="8"/>
    </row>
    <row r="643" ht="12.75" customHeight="1">
      <c r="A643" s="8"/>
      <c r="HT643" s="8"/>
      <c r="HU643" s="8"/>
      <c r="HV643" s="8"/>
      <c r="HW643" s="8"/>
      <c r="HX643" s="8"/>
      <c r="HY643" s="8"/>
      <c r="HZ643" s="8"/>
      <c r="IA643" s="8"/>
      <c r="IB643" s="8"/>
      <c r="IC643" s="8"/>
      <c r="ID643" s="8"/>
      <c r="IE643" s="8"/>
      <c r="IF643" s="8"/>
      <c r="IG643" s="8"/>
      <c r="IH643" s="8"/>
      <c r="II643" s="8"/>
      <c r="IJ643" s="8"/>
      <c r="IK643" s="8"/>
      <c r="IL643" s="8"/>
      <c r="IM643" s="8"/>
      <c r="IN643" s="8"/>
      <c r="IO643" s="8"/>
      <c r="IP643" s="8"/>
      <c r="IQ643" s="8"/>
      <c r="IR643" s="8"/>
      <c r="IS643" s="8"/>
      <c r="IT643" s="8"/>
      <c r="IU643" s="8"/>
      <c r="IV643" s="8"/>
    </row>
    <row r="644" ht="12.75" customHeight="1">
      <c r="A644" s="8"/>
      <c r="HT644" s="8"/>
      <c r="HU644" s="8"/>
      <c r="HV644" s="8"/>
      <c r="HW644" s="8"/>
      <c r="HX644" s="8"/>
      <c r="HY644" s="8"/>
      <c r="HZ644" s="8"/>
      <c r="IA644" s="8"/>
      <c r="IB644" s="8"/>
      <c r="IC644" s="8"/>
      <c r="ID644" s="8"/>
      <c r="IE644" s="8"/>
      <c r="IF644" s="8"/>
      <c r="IG644" s="8"/>
      <c r="IH644" s="8"/>
      <c r="II644" s="8"/>
      <c r="IJ644" s="8"/>
      <c r="IK644" s="8"/>
      <c r="IL644" s="8"/>
      <c r="IM644" s="8"/>
      <c r="IN644" s="8"/>
      <c r="IO644" s="8"/>
      <c r="IP644" s="8"/>
      <c r="IQ644" s="8"/>
      <c r="IR644" s="8"/>
      <c r="IS644" s="8"/>
      <c r="IT644" s="8"/>
      <c r="IU644" s="8"/>
      <c r="IV644" s="8"/>
    </row>
    <row r="645" ht="12.75" customHeight="1">
      <c r="A645" s="8"/>
      <c r="HT645" s="8"/>
      <c r="HU645" s="8"/>
      <c r="HV645" s="8"/>
      <c r="HW645" s="8"/>
      <c r="HX645" s="8"/>
      <c r="HY645" s="8"/>
      <c r="HZ645" s="8"/>
      <c r="IA645" s="8"/>
      <c r="IB645" s="8"/>
      <c r="IC645" s="8"/>
      <c r="ID645" s="8"/>
      <c r="IE645" s="8"/>
      <c r="IF645" s="8"/>
      <c r="IG645" s="8"/>
      <c r="IH645" s="8"/>
      <c r="II645" s="8"/>
      <c r="IJ645" s="8"/>
      <c r="IK645" s="8"/>
      <c r="IL645" s="8"/>
      <c r="IM645" s="8"/>
      <c r="IN645" s="8"/>
      <c r="IO645" s="8"/>
      <c r="IP645" s="8"/>
      <c r="IQ645" s="8"/>
      <c r="IR645" s="8"/>
      <c r="IS645" s="8"/>
      <c r="IT645" s="8"/>
      <c r="IU645" s="8"/>
      <c r="IV645" s="8"/>
    </row>
    <row r="646" ht="12.75" customHeight="1">
      <c r="A646" s="8"/>
      <c r="HT646" s="8"/>
      <c r="HU646" s="8"/>
      <c r="HV646" s="8"/>
      <c r="HW646" s="8"/>
      <c r="HX646" s="8"/>
      <c r="HY646" s="8"/>
      <c r="HZ646" s="8"/>
      <c r="IA646" s="8"/>
      <c r="IB646" s="8"/>
      <c r="IC646" s="8"/>
      <c r="ID646" s="8"/>
      <c r="IE646" s="8"/>
      <c r="IF646" s="8"/>
      <c r="IG646" s="8"/>
      <c r="IH646" s="8"/>
      <c r="II646" s="8"/>
      <c r="IJ646" s="8"/>
      <c r="IK646" s="8"/>
      <c r="IL646" s="8"/>
      <c r="IM646" s="8"/>
      <c r="IN646" s="8"/>
      <c r="IO646" s="8"/>
      <c r="IP646" s="8"/>
      <c r="IQ646" s="8"/>
      <c r="IR646" s="8"/>
      <c r="IS646" s="8"/>
      <c r="IT646" s="8"/>
      <c r="IU646" s="8"/>
      <c r="IV646" s="8"/>
    </row>
    <row r="647" ht="12.75" customHeight="1">
      <c r="A647" s="8"/>
      <c r="HT647" s="8"/>
      <c r="HU647" s="8"/>
      <c r="HV647" s="8"/>
      <c r="HW647" s="8"/>
      <c r="HX647" s="8"/>
      <c r="HY647" s="8"/>
      <c r="HZ647" s="8"/>
      <c r="IA647" s="8"/>
      <c r="IB647" s="8"/>
      <c r="IC647" s="8"/>
      <c r="ID647" s="8"/>
      <c r="IE647" s="8"/>
      <c r="IF647" s="8"/>
      <c r="IG647" s="8"/>
      <c r="IH647" s="8"/>
      <c r="II647" s="8"/>
      <c r="IJ647" s="8"/>
      <c r="IK647" s="8"/>
      <c r="IL647" s="8"/>
      <c r="IM647" s="8"/>
      <c r="IN647" s="8"/>
      <c r="IO647" s="8"/>
      <c r="IP647" s="8"/>
      <c r="IQ647" s="8"/>
      <c r="IR647" s="8"/>
      <c r="IS647" s="8"/>
      <c r="IT647" s="8"/>
      <c r="IU647" s="8"/>
      <c r="IV647" s="8"/>
    </row>
    <row r="648" ht="12.75" customHeight="1">
      <c r="A648" s="8"/>
      <c r="HT648" s="8"/>
      <c r="HU648" s="8"/>
      <c r="HV648" s="8"/>
      <c r="HW648" s="8"/>
      <c r="HX648" s="8"/>
      <c r="HY648" s="8"/>
      <c r="HZ648" s="8"/>
      <c r="IA648" s="8"/>
      <c r="IB648" s="8"/>
      <c r="IC648" s="8"/>
      <c r="ID648" s="8"/>
      <c r="IE648" s="8"/>
      <c r="IF648" s="8"/>
      <c r="IG648" s="8"/>
      <c r="IH648" s="8"/>
      <c r="II648" s="8"/>
      <c r="IJ648" s="8"/>
      <c r="IK648" s="8"/>
      <c r="IL648" s="8"/>
      <c r="IM648" s="8"/>
      <c r="IN648" s="8"/>
      <c r="IO648" s="8"/>
      <c r="IP648" s="8"/>
      <c r="IQ648" s="8"/>
      <c r="IR648" s="8"/>
      <c r="IS648" s="8"/>
      <c r="IT648" s="8"/>
      <c r="IU648" s="8"/>
      <c r="IV648" s="8"/>
    </row>
    <row r="649" ht="12.75" customHeight="1">
      <c r="A649" s="8"/>
      <c r="HT649" s="8"/>
      <c r="HU649" s="8"/>
      <c r="HV649" s="8"/>
      <c r="HW649" s="8"/>
      <c r="HX649" s="8"/>
      <c r="HY649" s="8"/>
      <c r="HZ649" s="8"/>
      <c r="IA649" s="8"/>
      <c r="IB649" s="8"/>
      <c r="IC649" s="8"/>
      <c r="ID649" s="8"/>
      <c r="IE649" s="8"/>
      <c r="IF649" s="8"/>
      <c r="IG649" s="8"/>
      <c r="IH649" s="8"/>
      <c r="II649" s="8"/>
      <c r="IJ649" s="8"/>
      <c r="IK649" s="8"/>
      <c r="IL649" s="8"/>
      <c r="IM649" s="8"/>
      <c r="IN649" s="8"/>
      <c r="IO649" s="8"/>
      <c r="IP649" s="8"/>
      <c r="IQ649" s="8"/>
      <c r="IR649" s="8"/>
      <c r="IS649" s="8"/>
      <c r="IT649" s="8"/>
      <c r="IU649" s="8"/>
      <c r="IV649" s="8"/>
    </row>
    <row r="650" ht="12.75" customHeight="1">
      <c r="A650" s="8"/>
      <c r="HT650" s="8"/>
      <c r="HU650" s="8"/>
      <c r="HV650" s="8"/>
      <c r="HW650" s="8"/>
      <c r="HX650" s="8"/>
      <c r="HY650" s="8"/>
      <c r="HZ650" s="8"/>
      <c r="IA650" s="8"/>
      <c r="IB650" s="8"/>
      <c r="IC650" s="8"/>
      <c r="ID650" s="8"/>
      <c r="IE650" s="8"/>
      <c r="IF650" s="8"/>
      <c r="IG650" s="8"/>
      <c r="IH650" s="8"/>
      <c r="II650" s="8"/>
      <c r="IJ650" s="8"/>
      <c r="IK650" s="8"/>
      <c r="IL650" s="8"/>
      <c r="IM650" s="8"/>
      <c r="IN650" s="8"/>
      <c r="IO650" s="8"/>
      <c r="IP650" s="8"/>
      <c r="IQ650" s="8"/>
      <c r="IR650" s="8"/>
      <c r="IS650" s="8"/>
      <c r="IT650" s="8"/>
      <c r="IU650" s="8"/>
      <c r="IV650" s="8"/>
    </row>
    <row r="651" ht="12.75" customHeight="1">
      <c r="A651" s="8"/>
      <c r="HT651" s="8"/>
      <c r="HU651" s="8"/>
      <c r="HV651" s="8"/>
      <c r="HW651" s="8"/>
      <c r="HX651" s="8"/>
      <c r="HY651" s="8"/>
      <c r="HZ651" s="8"/>
      <c r="IA651" s="8"/>
      <c r="IB651" s="8"/>
      <c r="IC651" s="8"/>
      <c r="ID651" s="8"/>
      <c r="IE651" s="8"/>
      <c r="IF651" s="8"/>
      <c r="IG651" s="8"/>
      <c r="IH651" s="8"/>
      <c r="II651" s="8"/>
      <c r="IJ651" s="8"/>
      <c r="IK651" s="8"/>
      <c r="IL651" s="8"/>
      <c r="IM651" s="8"/>
      <c r="IN651" s="8"/>
      <c r="IO651" s="8"/>
      <c r="IP651" s="8"/>
      <c r="IQ651" s="8"/>
      <c r="IR651" s="8"/>
      <c r="IS651" s="8"/>
      <c r="IT651" s="8"/>
      <c r="IU651" s="8"/>
      <c r="IV651" s="8"/>
    </row>
    <row r="652" ht="12.75" customHeight="1">
      <c r="A652" s="8"/>
      <c r="HT652" s="8"/>
      <c r="HU652" s="8"/>
      <c r="HV652" s="8"/>
      <c r="HW652" s="8"/>
      <c r="HX652" s="8"/>
      <c r="HY652" s="8"/>
      <c r="HZ652" s="8"/>
      <c r="IA652" s="8"/>
      <c r="IB652" s="8"/>
      <c r="IC652" s="8"/>
      <c r="ID652" s="8"/>
      <c r="IE652" s="8"/>
      <c r="IF652" s="8"/>
      <c r="IG652" s="8"/>
      <c r="IH652" s="8"/>
      <c r="II652" s="8"/>
      <c r="IJ652" s="8"/>
      <c r="IK652" s="8"/>
      <c r="IL652" s="8"/>
      <c r="IM652" s="8"/>
      <c r="IN652" s="8"/>
      <c r="IO652" s="8"/>
      <c r="IP652" s="8"/>
      <c r="IQ652" s="8"/>
      <c r="IR652" s="8"/>
      <c r="IS652" s="8"/>
      <c r="IT652" s="8"/>
      <c r="IU652" s="8"/>
      <c r="IV652" s="8"/>
    </row>
    <row r="653" ht="12.75" customHeight="1">
      <c r="A653" s="8"/>
      <c r="HT653" s="8"/>
      <c r="HU653" s="8"/>
      <c r="HV653" s="8"/>
      <c r="HW653" s="8"/>
      <c r="HX653" s="8"/>
      <c r="HY653" s="8"/>
      <c r="HZ653" s="8"/>
      <c r="IA653" s="8"/>
      <c r="IB653" s="8"/>
      <c r="IC653" s="8"/>
      <c r="ID653" s="8"/>
      <c r="IE653" s="8"/>
      <c r="IF653" s="8"/>
      <c r="IG653" s="8"/>
      <c r="IH653" s="8"/>
      <c r="II653" s="8"/>
      <c r="IJ653" s="8"/>
      <c r="IK653" s="8"/>
      <c r="IL653" s="8"/>
      <c r="IM653" s="8"/>
      <c r="IN653" s="8"/>
      <c r="IO653" s="8"/>
      <c r="IP653" s="8"/>
      <c r="IQ653" s="8"/>
      <c r="IR653" s="8"/>
      <c r="IS653" s="8"/>
      <c r="IT653" s="8"/>
      <c r="IU653" s="8"/>
      <c r="IV653" s="8"/>
    </row>
    <row r="654" ht="12.75" customHeight="1">
      <c r="A654" s="8"/>
      <c r="HT654" s="8"/>
      <c r="HU654" s="8"/>
      <c r="HV654" s="8"/>
      <c r="HW654" s="8"/>
      <c r="HX654" s="8"/>
      <c r="HY654" s="8"/>
      <c r="HZ654" s="8"/>
      <c r="IA654" s="8"/>
      <c r="IB654" s="8"/>
      <c r="IC654" s="8"/>
      <c r="ID654" s="8"/>
      <c r="IE654" s="8"/>
      <c r="IF654" s="8"/>
      <c r="IG654" s="8"/>
      <c r="IH654" s="8"/>
      <c r="II654" s="8"/>
      <c r="IJ654" s="8"/>
      <c r="IK654" s="8"/>
      <c r="IL654" s="8"/>
      <c r="IM654" s="8"/>
      <c r="IN654" s="8"/>
      <c r="IO654" s="8"/>
      <c r="IP654" s="8"/>
      <c r="IQ654" s="8"/>
      <c r="IR654" s="8"/>
      <c r="IS654" s="8"/>
      <c r="IT654" s="8"/>
      <c r="IU654" s="8"/>
      <c r="IV654" s="8"/>
    </row>
    <row r="655" ht="12.75" customHeight="1">
      <c r="A655" s="8"/>
      <c r="HT655" s="8"/>
      <c r="HU655" s="8"/>
      <c r="HV655" s="8"/>
      <c r="HW655" s="8"/>
      <c r="HX655" s="8"/>
      <c r="HY655" s="8"/>
      <c r="HZ655" s="8"/>
      <c r="IA655" s="8"/>
      <c r="IB655" s="8"/>
      <c r="IC655" s="8"/>
      <c r="ID655" s="8"/>
      <c r="IE655" s="8"/>
      <c r="IF655" s="8"/>
      <c r="IG655" s="8"/>
      <c r="IH655" s="8"/>
      <c r="II655" s="8"/>
      <c r="IJ655" s="8"/>
      <c r="IK655" s="8"/>
      <c r="IL655" s="8"/>
      <c r="IM655" s="8"/>
      <c r="IN655" s="8"/>
      <c r="IO655" s="8"/>
      <c r="IP655" s="8"/>
      <c r="IQ655" s="8"/>
      <c r="IR655" s="8"/>
      <c r="IS655" s="8"/>
      <c r="IT655" s="8"/>
      <c r="IU655" s="8"/>
      <c r="IV655" s="8"/>
    </row>
    <row r="656" ht="12.75" customHeight="1">
      <c r="A656" s="8"/>
      <c r="HT656" s="8"/>
      <c r="HU656" s="8"/>
      <c r="HV656" s="8"/>
      <c r="HW656" s="8"/>
      <c r="HX656" s="8"/>
      <c r="HY656" s="8"/>
      <c r="HZ656" s="8"/>
      <c r="IA656" s="8"/>
      <c r="IB656" s="8"/>
      <c r="IC656" s="8"/>
      <c r="ID656" s="8"/>
      <c r="IE656" s="8"/>
      <c r="IF656" s="8"/>
      <c r="IG656" s="8"/>
      <c r="IH656" s="8"/>
      <c r="II656" s="8"/>
      <c r="IJ656" s="8"/>
      <c r="IK656" s="8"/>
      <c r="IL656" s="8"/>
      <c r="IM656" s="8"/>
      <c r="IN656" s="8"/>
      <c r="IO656" s="8"/>
      <c r="IP656" s="8"/>
      <c r="IQ656" s="8"/>
      <c r="IR656" s="8"/>
      <c r="IS656" s="8"/>
      <c r="IT656" s="8"/>
      <c r="IU656" s="8"/>
      <c r="IV656" s="8"/>
    </row>
    <row r="657" ht="12.75" customHeight="1">
      <c r="A657" s="8"/>
      <c r="HT657" s="8"/>
      <c r="HU657" s="8"/>
      <c r="HV657" s="8"/>
      <c r="HW657" s="8"/>
      <c r="HX657" s="8"/>
      <c r="HY657" s="8"/>
      <c r="HZ657" s="8"/>
      <c r="IA657" s="8"/>
      <c r="IB657" s="8"/>
      <c r="IC657" s="8"/>
      <c r="ID657" s="8"/>
      <c r="IE657" s="8"/>
      <c r="IF657" s="8"/>
      <c r="IG657" s="8"/>
      <c r="IH657" s="8"/>
      <c r="II657" s="8"/>
      <c r="IJ657" s="8"/>
      <c r="IK657" s="8"/>
      <c r="IL657" s="8"/>
      <c r="IM657" s="8"/>
      <c r="IN657" s="8"/>
      <c r="IO657" s="8"/>
      <c r="IP657" s="8"/>
      <c r="IQ657" s="8"/>
      <c r="IR657" s="8"/>
      <c r="IS657" s="8"/>
      <c r="IT657" s="8"/>
      <c r="IU657" s="8"/>
      <c r="IV657" s="8"/>
    </row>
    <row r="658" ht="12.75" customHeight="1">
      <c r="A658" s="8"/>
      <c r="HT658" s="8"/>
      <c r="HU658" s="8"/>
      <c r="HV658" s="8"/>
      <c r="HW658" s="8"/>
      <c r="HX658" s="8"/>
      <c r="HY658" s="8"/>
      <c r="HZ658" s="8"/>
      <c r="IA658" s="8"/>
      <c r="IB658" s="8"/>
      <c r="IC658" s="8"/>
      <c r="ID658" s="8"/>
      <c r="IE658" s="8"/>
      <c r="IF658" s="8"/>
      <c r="IG658" s="8"/>
      <c r="IH658" s="8"/>
      <c r="II658" s="8"/>
      <c r="IJ658" s="8"/>
      <c r="IK658" s="8"/>
      <c r="IL658" s="8"/>
      <c r="IM658" s="8"/>
      <c r="IN658" s="8"/>
      <c r="IO658" s="8"/>
      <c r="IP658" s="8"/>
      <c r="IQ658" s="8"/>
      <c r="IR658" s="8"/>
      <c r="IS658" s="8"/>
      <c r="IT658" s="8"/>
      <c r="IU658" s="8"/>
      <c r="IV658" s="8"/>
    </row>
    <row r="659" ht="12.75" customHeight="1">
      <c r="A659" s="8"/>
      <c r="HT659" s="8"/>
      <c r="HU659" s="8"/>
      <c r="HV659" s="8"/>
      <c r="HW659" s="8"/>
      <c r="HX659" s="8"/>
      <c r="HY659" s="8"/>
      <c r="HZ659" s="8"/>
      <c r="IA659" s="8"/>
      <c r="IB659" s="8"/>
      <c r="IC659" s="8"/>
      <c r="ID659" s="8"/>
      <c r="IE659" s="8"/>
      <c r="IF659" s="8"/>
      <c r="IG659" s="8"/>
      <c r="IH659" s="8"/>
      <c r="II659" s="8"/>
      <c r="IJ659" s="8"/>
      <c r="IK659" s="8"/>
      <c r="IL659" s="8"/>
      <c r="IM659" s="8"/>
      <c r="IN659" s="8"/>
      <c r="IO659" s="8"/>
      <c r="IP659" s="8"/>
      <c r="IQ659" s="8"/>
      <c r="IR659" s="8"/>
      <c r="IS659" s="8"/>
      <c r="IT659" s="8"/>
      <c r="IU659" s="8"/>
      <c r="IV659" s="8"/>
    </row>
    <row r="660" ht="12.75" customHeight="1">
      <c r="A660" s="8"/>
      <c r="HT660" s="8"/>
      <c r="HU660" s="8"/>
      <c r="HV660" s="8"/>
      <c r="HW660" s="8"/>
      <c r="HX660" s="8"/>
      <c r="HY660" s="8"/>
      <c r="HZ660" s="8"/>
      <c r="IA660" s="8"/>
      <c r="IB660" s="8"/>
      <c r="IC660" s="8"/>
      <c r="ID660" s="8"/>
      <c r="IE660" s="8"/>
      <c r="IF660" s="8"/>
      <c r="IG660" s="8"/>
      <c r="IH660" s="8"/>
      <c r="II660" s="8"/>
      <c r="IJ660" s="8"/>
      <c r="IK660" s="8"/>
      <c r="IL660" s="8"/>
      <c r="IM660" s="8"/>
      <c r="IN660" s="8"/>
      <c r="IO660" s="8"/>
      <c r="IP660" s="8"/>
      <c r="IQ660" s="8"/>
      <c r="IR660" s="8"/>
      <c r="IS660" s="8"/>
      <c r="IT660" s="8"/>
      <c r="IU660" s="8"/>
      <c r="IV660" s="8"/>
    </row>
    <row r="661" ht="12.75" customHeight="1">
      <c r="A661" s="8"/>
      <c r="HT661" s="8"/>
      <c r="HU661" s="8"/>
      <c r="HV661" s="8"/>
      <c r="HW661" s="8"/>
      <c r="HX661" s="8"/>
      <c r="HY661" s="8"/>
      <c r="HZ661" s="8"/>
      <c r="IA661" s="8"/>
      <c r="IB661" s="8"/>
      <c r="IC661" s="8"/>
      <c r="ID661" s="8"/>
      <c r="IE661" s="8"/>
      <c r="IF661" s="8"/>
      <c r="IG661" s="8"/>
      <c r="IH661" s="8"/>
      <c r="II661" s="8"/>
      <c r="IJ661" s="8"/>
      <c r="IK661" s="8"/>
      <c r="IL661" s="8"/>
      <c r="IM661" s="8"/>
      <c r="IN661" s="8"/>
      <c r="IO661" s="8"/>
      <c r="IP661" s="8"/>
      <c r="IQ661" s="8"/>
      <c r="IR661" s="8"/>
      <c r="IS661" s="8"/>
      <c r="IT661" s="8"/>
      <c r="IU661" s="8"/>
      <c r="IV661" s="8"/>
    </row>
    <row r="662" ht="12.75" customHeight="1">
      <c r="A662" s="8"/>
      <c r="HT662" s="8"/>
      <c r="HU662" s="8"/>
      <c r="HV662" s="8"/>
      <c r="HW662" s="8"/>
      <c r="HX662" s="8"/>
      <c r="HY662" s="8"/>
      <c r="HZ662" s="8"/>
      <c r="IA662" s="8"/>
      <c r="IB662" s="8"/>
      <c r="IC662" s="8"/>
      <c r="ID662" s="8"/>
      <c r="IE662" s="8"/>
      <c r="IF662" s="8"/>
      <c r="IG662" s="8"/>
      <c r="IH662" s="8"/>
      <c r="II662" s="8"/>
      <c r="IJ662" s="8"/>
      <c r="IK662" s="8"/>
      <c r="IL662" s="8"/>
      <c r="IM662" s="8"/>
      <c r="IN662" s="8"/>
      <c r="IO662" s="8"/>
      <c r="IP662" s="8"/>
      <c r="IQ662" s="8"/>
      <c r="IR662" s="8"/>
      <c r="IS662" s="8"/>
      <c r="IT662" s="8"/>
      <c r="IU662" s="8"/>
      <c r="IV662" s="8"/>
    </row>
    <row r="663" ht="12.75" customHeight="1">
      <c r="A663" s="8"/>
      <c r="HT663" s="8"/>
      <c r="HU663" s="8"/>
      <c r="HV663" s="8"/>
      <c r="HW663" s="8"/>
      <c r="HX663" s="8"/>
      <c r="HY663" s="8"/>
      <c r="HZ663" s="8"/>
      <c r="IA663" s="8"/>
      <c r="IB663" s="8"/>
      <c r="IC663" s="8"/>
      <c r="ID663" s="8"/>
      <c r="IE663" s="8"/>
      <c r="IF663" s="8"/>
      <c r="IG663" s="8"/>
      <c r="IH663" s="8"/>
      <c r="II663" s="8"/>
      <c r="IJ663" s="8"/>
      <c r="IK663" s="8"/>
      <c r="IL663" s="8"/>
      <c r="IM663" s="8"/>
      <c r="IN663" s="8"/>
      <c r="IO663" s="8"/>
      <c r="IP663" s="8"/>
      <c r="IQ663" s="8"/>
      <c r="IR663" s="8"/>
      <c r="IS663" s="8"/>
      <c r="IT663" s="8"/>
      <c r="IU663" s="8"/>
      <c r="IV663" s="8"/>
    </row>
    <row r="664" ht="12.75" customHeight="1">
      <c r="A664" s="8"/>
      <c r="HT664" s="8"/>
      <c r="HU664" s="8"/>
      <c r="HV664" s="8"/>
      <c r="HW664" s="8"/>
      <c r="HX664" s="8"/>
      <c r="HY664" s="8"/>
      <c r="HZ664" s="8"/>
      <c r="IA664" s="8"/>
      <c r="IB664" s="8"/>
      <c r="IC664" s="8"/>
      <c r="ID664" s="8"/>
      <c r="IE664" s="8"/>
      <c r="IF664" s="8"/>
      <c r="IG664" s="8"/>
      <c r="IH664" s="8"/>
      <c r="II664" s="8"/>
      <c r="IJ664" s="8"/>
      <c r="IK664" s="8"/>
      <c r="IL664" s="8"/>
      <c r="IM664" s="8"/>
      <c r="IN664" s="8"/>
      <c r="IO664" s="8"/>
      <c r="IP664" s="8"/>
      <c r="IQ664" s="8"/>
      <c r="IR664" s="8"/>
      <c r="IS664" s="8"/>
      <c r="IT664" s="8"/>
      <c r="IU664" s="8"/>
      <c r="IV664" s="8"/>
    </row>
    <row r="665" ht="12.75" customHeight="1">
      <c r="A665" s="8"/>
      <c r="HT665" s="8"/>
      <c r="HU665" s="8"/>
      <c r="HV665" s="8"/>
      <c r="HW665" s="8"/>
      <c r="HX665" s="8"/>
      <c r="HY665" s="8"/>
      <c r="HZ665" s="8"/>
      <c r="IA665" s="8"/>
      <c r="IB665" s="8"/>
      <c r="IC665" s="8"/>
      <c r="ID665" s="8"/>
      <c r="IE665" s="8"/>
      <c r="IF665" s="8"/>
      <c r="IG665" s="8"/>
      <c r="IH665" s="8"/>
      <c r="II665" s="8"/>
      <c r="IJ665" s="8"/>
      <c r="IK665" s="8"/>
      <c r="IL665" s="8"/>
      <c r="IM665" s="8"/>
      <c r="IN665" s="8"/>
      <c r="IO665" s="8"/>
      <c r="IP665" s="8"/>
      <c r="IQ665" s="8"/>
      <c r="IR665" s="8"/>
      <c r="IS665" s="8"/>
      <c r="IT665" s="8"/>
      <c r="IU665" s="8"/>
      <c r="IV665" s="8"/>
    </row>
    <row r="666" ht="12.75" customHeight="1">
      <c r="A666" s="8"/>
      <c r="HT666" s="8"/>
      <c r="HU666" s="8"/>
      <c r="HV666" s="8"/>
      <c r="HW666" s="8"/>
      <c r="HX666" s="8"/>
      <c r="HY666" s="8"/>
      <c r="HZ666" s="8"/>
      <c r="IA666" s="8"/>
      <c r="IB666" s="8"/>
      <c r="IC666" s="8"/>
      <c r="ID666" s="8"/>
      <c r="IE666" s="8"/>
      <c r="IF666" s="8"/>
      <c r="IG666" s="8"/>
      <c r="IH666" s="8"/>
      <c r="II666" s="8"/>
      <c r="IJ666" s="8"/>
      <c r="IK666" s="8"/>
      <c r="IL666" s="8"/>
      <c r="IM666" s="8"/>
      <c r="IN666" s="8"/>
      <c r="IO666" s="8"/>
      <c r="IP666" s="8"/>
      <c r="IQ666" s="8"/>
      <c r="IR666" s="8"/>
      <c r="IS666" s="8"/>
      <c r="IT666" s="8"/>
      <c r="IU666" s="8"/>
      <c r="IV666" s="8"/>
    </row>
    <row r="667" ht="12.75" customHeight="1">
      <c r="A667" s="8"/>
      <c r="HT667" s="8"/>
      <c r="HU667" s="8"/>
      <c r="HV667" s="8"/>
      <c r="HW667" s="8"/>
      <c r="HX667" s="8"/>
      <c r="HY667" s="8"/>
      <c r="HZ667" s="8"/>
      <c r="IA667" s="8"/>
      <c r="IB667" s="8"/>
      <c r="IC667" s="8"/>
      <c r="ID667" s="8"/>
      <c r="IE667" s="8"/>
      <c r="IF667" s="8"/>
      <c r="IG667" s="8"/>
      <c r="IH667" s="8"/>
      <c r="II667" s="8"/>
      <c r="IJ667" s="8"/>
      <c r="IK667" s="8"/>
      <c r="IL667" s="8"/>
      <c r="IM667" s="8"/>
      <c r="IN667" s="8"/>
      <c r="IO667" s="8"/>
      <c r="IP667" s="8"/>
      <c r="IQ667" s="8"/>
      <c r="IR667" s="8"/>
      <c r="IS667" s="8"/>
      <c r="IT667" s="8"/>
      <c r="IU667" s="8"/>
      <c r="IV667" s="8"/>
    </row>
    <row r="668" ht="12.75" customHeight="1">
      <c r="A668" s="8"/>
      <c r="HT668" s="8"/>
      <c r="HU668" s="8"/>
      <c r="HV668" s="8"/>
      <c r="HW668" s="8"/>
      <c r="HX668" s="8"/>
      <c r="HY668" s="8"/>
      <c r="HZ668" s="8"/>
      <c r="IA668" s="8"/>
      <c r="IB668" s="8"/>
      <c r="IC668" s="8"/>
      <c r="ID668" s="8"/>
      <c r="IE668" s="8"/>
      <c r="IF668" s="8"/>
      <c r="IG668" s="8"/>
      <c r="IH668" s="8"/>
      <c r="II668" s="8"/>
      <c r="IJ668" s="8"/>
      <c r="IK668" s="8"/>
      <c r="IL668" s="8"/>
      <c r="IM668" s="8"/>
      <c r="IN668" s="8"/>
      <c r="IO668" s="8"/>
      <c r="IP668" s="8"/>
      <c r="IQ668" s="8"/>
      <c r="IR668" s="8"/>
      <c r="IS668" s="8"/>
      <c r="IT668" s="8"/>
      <c r="IU668" s="8"/>
      <c r="IV668" s="8"/>
    </row>
    <row r="669" ht="12.75" customHeight="1">
      <c r="A669" s="8"/>
      <c r="HT669" s="8"/>
      <c r="HU669" s="8"/>
      <c r="HV669" s="8"/>
      <c r="HW669" s="8"/>
      <c r="HX669" s="8"/>
      <c r="HY669" s="8"/>
      <c r="HZ669" s="8"/>
      <c r="IA669" s="8"/>
      <c r="IB669" s="8"/>
      <c r="IC669" s="8"/>
      <c r="ID669" s="8"/>
      <c r="IE669" s="8"/>
      <c r="IF669" s="8"/>
      <c r="IG669" s="8"/>
      <c r="IH669" s="8"/>
      <c r="II669" s="8"/>
      <c r="IJ669" s="8"/>
      <c r="IK669" s="8"/>
      <c r="IL669" s="8"/>
      <c r="IM669" s="8"/>
      <c r="IN669" s="8"/>
      <c r="IO669" s="8"/>
      <c r="IP669" s="8"/>
      <c r="IQ669" s="8"/>
      <c r="IR669" s="8"/>
      <c r="IS669" s="8"/>
      <c r="IT669" s="8"/>
      <c r="IU669" s="8"/>
      <c r="IV669" s="8"/>
    </row>
    <row r="670" ht="12.75" customHeight="1">
      <c r="A670" s="8"/>
      <c r="HT670" s="8"/>
      <c r="HU670" s="8"/>
      <c r="HV670" s="8"/>
      <c r="HW670" s="8"/>
      <c r="HX670" s="8"/>
      <c r="HY670" s="8"/>
      <c r="HZ670" s="8"/>
      <c r="IA670" s="8"/>
      <c r="IB670" s="8"/>
      <c r="IC670" s="8"/>
      <c r="ID670" s="8"/>
      <c r="IE670" s="8"/>
      <c r="IF670" s="8"/>
      <c r="IG670" s="8"/>
      <c r="IH670" s="8"/>
      <c r="II670" s="8"/>
      <c r="IJ670" s="8"/>
      <c r="IK670" s="8"/>
      <c r="IL670" s="8"/>
      <c r="IM670" s="8"/>
      <c r="IN670" s="8"/>
      <c r="IO670" s="8"/>
      <c r="IP670" s="8"/>
      <c r="IQ670" s="8"/>
      <c r="IR670" s="8"/>
      <c r="IS670" s="8"/>
      <c r="IT670" s="8"/>
      <c r="IU670" s="8"/>
      <c r="IV670" s="8"/>
    </row>
    <row r="671" ht="12.75" customHeight="1">
      <c r="A671" s="8"/>
      <c r="HT671" s="8"/>
      <c r="HU671" s="8"/>
      <c r="HV671" s="8"/>
      <c r="HW671" s="8"/>
      <c r="HX671" s="8"/>
      <c r="HY671" s="8"/>
      <c r="HZ671" s="8"/>
      <c r="IA671" s="8"/>
      <c r="IB671" s="8"/>
      <c r="IC671" s="8"/>
      <c r="ID671" s="8"/>
      <c r="IE671" s="8"/>
      <c r="IF671" s="8"/>
      <c r="IG671" s="8"/>
      <c r="IH671" s="8"/>
      <c r="II671" s="8"/>
      <c r="IJ671" s="8"/>
      <c r="IK671" s="8"/>
      <c r="IL671" s="8"/>
      <c r="IM671" s="8"/>
      <c r="IN671" s="8"/>
      <c r="IO671" s="8"/>
      <c r="IP671" s="8"/>
      <c r="IQ671" s="8"/>
      <c r="IR671" s="8"/>
      <c r="IS671" s="8"/>
      <c r="IT671" s="8"/>
      <c r="IU671" s="8"/>
      <c r="IV671" s="8"/>
    </row>
    <row r="672" ht="12.75" customHeight="1">
      <c r="A672" s="8"/>
      <c r="HT672" s="8"/>
      <c r="HU672" s="8"/>
      <c r="HV672" s="8"/>
      <c r="HW672" s="8"/>
      <c r="HX672" s="8"/>
      <c r="HY672" s="8"/>
      <c r="HZ672" s="8"/>
      <c r="IA672" s="8"/>
      <c r="IB672" s="8"/>
      <c r="IC672" s="8"/>
      <c r="ID672" s="8"/>
      <c r="IE672" s="8"/>
      <c r="IF672" s="8"/>
      <c r="IG672" s="8"/>
      <c r="IH672" s="8"/>
      <c r="II672" s="8"/>
      <c r="IJ672" s="8"/>
      <c r="IK672" s="8"/>
      <c r="IL672" s="8"/>
      <c r="IM672" s="8"/>
      <c r="IN672" s="8"/>
      <c r="IO672" s="8"/>
      <c r="IP672" s="8"/>
      <c r="IQ672" s="8"/>
      <c r="IR672" s="8"/>
      <c r="IS672" s="8"/>
      <c r="IT672" s="8"/>
      <c r="IU672" s="8"/>
      <c r="IV672" s="8"/>
    </row>
    <row r="673" ht="12.75" customHeight="1">
      <c r="A673" s="8"/>
      <c r="HT673" s="8"/>
      <c r="HU673" s="8"/>
      <c r="HV673" s="8"/>
      <c r="HW673" s="8"/>
      <c r="HX673" s="8"/>
      <c r="HY673" s="8"/>
      <c r="HZ673" s="8"/>
      <c r="IA673" s="8"/>
      <c r="IB673" s="8"/>
      <c r="IC673" s="8"/>
      <c r="ID673" s="8"/>
      <c r="IE673" s="8"/>
      <c r="IF673" s="8"/>
      <c r="IG673" s="8"/>
      <c r="IH673" s="8"/>
      <c r="II673" s="8"/>
      <c r="IJ673" s="8"/>
      <c r="IK673" s="8"/>
      <c r="IL673" s="8"/>
      <c r="IM673" s="8"/>
      <c r="IN673" s="8"/>
      <c r="IO673" s="8"/>
      <c r="IP673" s="8"/>
      <c r="IQ673" s="8"/>
      <c r="IR673" s="8"/>
      <c r="IS673" s="8"/>
      <c r="IT673" s="8"/>
      <c r="IU673" s="8"/>
      <c r="IV673" s="8"/>
    </row>
    <row r="674" ht="12.75" customHeight="1">
      <c r="A674" s="8"/>
      <c r="HT674" s="8"/>
      <c r="HU674" s="8"/>
      <c r="HV674" s="8"/>
      <c r="HW674" s="8"/>
      <c r="HX674" s="8"/>
      <c r="HY674" s="8"/>
      <c r="HZ674" s="8"/>
      <c r="IA674" s="8"/>
      <c r="IB674" s="8"/>
      <c r="IC674" s="8"/>
      <c r="ID674" s="8"/>
      <c r="IE674" s="8"/>
      <c r="IF674" s="8"/>
      <c r="IG674" s="8"/>
      <c r="IH674" s="8"/>
      <c r="II674" s="8"/>
      <c r="IJ674" s="8"/>
      <c r="IK674" s="8"/>
      <c r="IL674" s="8"/>
      <c r="IM674" s="8"/>
      <c r="IN674" s="8"/>
      <c r="IO674" s="8"/>
      <c r="IP674" s="8"/>
      <c r="IQ674" s="8"/>
      <c r="IR674" s="8"/>
      <c r="IS674" s="8"/>
      <c r="IT674" s="8"/>
      <c r="IU674" s="8"/>
      <c r="IV674" s="8"/>
    </row>
    <row r="675" ht="12.75" customHeight="1">
      <c r="A675" s="8"/>
      <c r="HT675" s="8"/>
      <c r="HU675" s="8"/>
      <c r="HV675" s="8"/>
      <c r="HW675" s="8"/>
      <c r="HX675" s="8"/>
      <c r="HY675" s="8"/>
      <c r="HZ675" s="8"/>
      <c r="IA675" s="8"/>
      <c r="IB675" s="8"/>
      <c r="IC675" s="8"/>
      <c r="ID675" s="8"/>
      <c r="IE675" s="8"/>
      <c r="IF675" s="8"/>
      <c r="IG675" s="8"/>
      <c r="IH675" s="8"/>
      <c r="II675" s="8"/>
      <c r="IJ675" s="8"/>
      <c r="IK675" s="8"/>
      <c r="IL675" s="8"/>
      <c r="IM675" s="8"/>
      <c r="IN675" s="8"/>
      <c r="IO675" s="8"/>
      <c r="IP675" s="8"/>
      <c r="IQ675" s="8"/>
      <c r="IR675" s="8"/>
      <c r="IS675" s="8"/>
      <c r="IT675" s="8"/>
      <c r="IU675" s="8"/>
      <c r="IV675" s="8"/>
    </row>
    <row r="676" ht="12.75" customHeight="1">
      <c r="A676" s="8"/>
      <c r="HT676" s="8"/>
      <c r="HU676" s="8"/>
      <c r="HV676" s="8"/>
      <c r="HW676" s="8"/>
      <c r="HX676" s="8"/>
      <c r="HY676" s="8"/>
      <c r="HZ676" s="8"/>
      <c r="IA676" s="8"/>
      <c r="IB676" s="8"/>
      <c r="IC676" s="8"/>
      <c r="ID676" s="8"/>
      <c r="IE676" s="8"/>
      <c r="IF676" s="8"/>
      <c r="IG676" s="8"/>
      <c r="IH676" s="8"/>
      <c r="II676" s="8"/>
      <c r="IJ676" s="8"/>
      <c r="IK676" s="8"/>
      <c r="IL676" s="8"/>
      <c r="IM676" s="8"/>
      <c r="IN676" s="8"/>
      <c r="IO676" s="8"/>
      <c r="IP676" s="8"/>
      <c r="IQ676" s="8"/>
      <c r="IR676" s="8"/>
      <c r="IS676" s="8"/>
      <c r="IT676" s="8"/>
      <c r="IU676" s="8"/>
      <c r="IV676" s="8"/>
    </row>
    <row r="677" ht="12.75" customHeight="1">
      <c r="A677" s="8"/>
      <c r="HT677" s="8"/>
      <c r="HU677" s="8"/>
      <c r="HV677" s="8"/>
      <c r="HW677" s="8"/>
      <c r="HX677" s="8"/>
      <c r="HY677" s="8"/>
      <c r="HZ677" s="8"/>
      <c r="IA677" s="8"/>
      <c r="IB677" s="8"/>
      <c r="IC677" s="8"/>
      <c r="ID677" s="8"/>
      <c r="IE677" s="8"/>
      <c r="IF677" s="8"/>
      <c r="IG677" s="8"/>
      <c r="IH677" s="8"/>
      <c r="II677" s="8"/>
      <c r="IJ677" s="8"/>
      <c r="IK677" s="8"/>
      <c r="IL677" s="8"/>
      <c r="IM677" s="8"/>
      <c r="IN677" s="8"/>
      <c r="IO677" s="8"/>
      <c r="IP677" s="8"/>
      <c r="IQ677" s="8"/>
      <c r="IR677" s="8"/>
      <c r="IS677" s="8"/>
      <c r="IT677" s="8"/>
      <c r="IU677" s="8"/>
      <c r="IV677" s="8"/>
    </row>
    <row r="678" ht="12.75" customHeight="1">
      <c r="A678" s="8"/>
      <c r="HT678" s="8"/>
      <c r="HU678" s="8"/>
      <c r="HV678" s="8"/>
      <c r="HW678" s="8"/>
      <c r="HX678" s="8"/>
      <c r="HY678" s="8"/>
      <c r="HZ678" s="8"/>
      <c r="IA678" s="8"/>
      <c r="IB678" s="8"/>
      <c r="IC678" s="8"/>
      <c r="ID678" s="8"/>
      <c r="IE678" s="8"/>
      <c r="IF678" s="8"/>
      <c r="IG678" s="8"/>
      <c r="IH678" s="8"/>
      <c r="II678" s="8"/>
      <c r="IJ678" s="8"/>
      <c r="IK678" s="8"/>
      <c r="IL678" s="8"/>
      <c r="IM678" s="8"/>
      <c r="IN678" s="8"/>
      <c r="IO678" s="8"/>
      <c r="IP678" s="8"/>
      <c r="IQ678" s="8"/>
      <c r="IR678" s="8"/>
      <c r="IS678" s="8"/>
      <c r="IT678" s="8"/>
      <c r="IU678" s="8"/>
      <c r="IV678" s="8"/>
    </row>
    <row r="679" ht="12.75" customHeight="1">
      <c r="A679" s="8"/>
      <c r="HT679" s="8"/>
      <c r="HU679" s="8"/>
      <c r="HV679" s="8"/>
      <c r="HW679" s="8"/>
      <c r="HX679" s="8"/>
      <c r="HY679" s="8"/>
      <c r="HZ679" s="8"/>
      <c r="IA679" s="8"/>
      <c r="IB679" s="8"/>
      <c r="IC679" s="8"/>
      <c r="ID679" s="8"/>
      <c r="IE679" s="8"/>
      <c r="IF679" s="8"/>
      <c r="IG679" s="8"/>
      <c r="IH679" s="8"/>
      <c r="II679" s="8"/>
      <c r="IJ679" s="8"/>
      <c r="IK679" s="8"/>
      <c r="IL679" s="8"/>
      <c r="IM679" s="8"/>
      <c r="IN679" s="8"/>
      <c r="IO679" s="8"/>
      <c r="IP679" s="8"/>
      <c r="IQ679" s="8"/>
      <c r="IR679" s="8"/>
      <c r="IS679" s="8"/>
      <c r="IT679" s="8"/>
      <c r="IU679" s="8"/>
      <c r="IV679" s="8"/>
    </row>
    <row r="680" ht="12.75" customHeight="1">
      <c r="A680" s="8"/>
      <c r="HT680" s="8"/>
      <c r="HU680" s="8"/>
      <c r="HV680" s="8"/>
      <c r="HW680" s="8"/>
      <c r="HX680" s="8"/>
      <c r="HY680" s="8"/>
      <c r="HZ680" s="8"/>
      <c r="IA680" s="8"/>
      <c r="IB680" s="8"/>
      <c r="IC680" s="8"/>
      <c r="ID680" s="8"/>
      <c r="IE680" s="8"/>
      <c r="IF680" s="8"/>
      <c r="IG680" s="8"/>
      <c r="IH680" s="8"/>
      <c r="II680" s="8"/>
      <c r="IJ680" s="8"/>
      <c r="IK680" s="8"/>
      <c r="IL680" s="8"/>
      <c r="IM680" s="8"/>
      <c r="IN680" s="8"/>
      <c r="IO680" s="8"/>
      <c r="IP680" s="8"/>
      <c r="IQ680" s="8"/>
      <c r="IR680" s="8"/>
      <c r="IS680" s="8"/>
      <c r="IT680" s="8"/>
      <c r="IU680" s="8"/>
      <c r="IV680" s="8"/>
    </row>
    <row r="681" ht="12.75" customHeight="1">
      <c r="A681" s="8"/>
      <c r="HT681" s="8"/>
      <c r="HU681" s="8"/>
      <c r="HV681" s="8"/>
      <c r="HW681" s="8"/>
      <c r="HX681" s="8"/>
      <c r="HY681" s="8"/>
      <c r="HZ681" s="8"/>
      <c r="IA681" s="8"/>
      <c r="IB681" s="8"/>
      <c r="IC681" s="8"/>
      <c r="ID681" s="8"/>
      <c r="IE681" s="8"/>
      <c r="IF681" s="8"/>
      <c r="IG681" s="8"/>
      <c r="IH681" s="8"/>
      <c r="II681" s="8"/>
      <c r="IJ681" s="8"/>
      <c r="IK681" s="8"/>
      <c r="IL681" s="8"/>
      <c r="IM681" s="8"/>
      <c r="IN681" s="8"/>
      <c r="IO681" s="8"/>
      <c r="IP681" s="8"/>
      <c r="IQ681" s="8"/>
      <c r="IR681" s="8"/>
      <c r="IS681" s="8"/>
      <c r="IT681" s="8"/>
      <c r="IU681" s="8"/>
      <c r="IV681" s="8"/>
    </row>
    <row r="682" ht="12.75" customHeight="1">
      <c r="A682" s="8"/>
      <c r="HT682" s="8"/>
      <c r="HU682" s="8"/>
      <c r="HV682" s="8"/>
      <c r="HW682" s="8"/>
      <c r="HX682" s="8"/>
      <c r="HY682" s="8"/>
      <c r="HZ682" s="8"/>
      <c r="IA682" s="8"/>
      <c r="IB682" s="8"/>
      <c r="IC682" s="8"/>
      <c r="ID682" s="8"/>
      <c r="IE682" s="8"/>
      <c r="IF682" s="8"/>
      <c r="IG682" s="8"/>
      <c r="IH682" s="8"/>
      <c r="II682" s="8"/>
      <c r="IJ682" s="8"/>
      <c r="IK682" s="8"/>
      <c r="IL682" s="8"/>
      <c r="IM682" s="8"/>
      <c r="IN682" s="8"/>
      <c r="IO682" s="8"/>
      <c r="IP682" s="8"/>
      <c r="IQ682" s="8"/>
      <c r="IR682" s="8"/>
      <c r="IS682" s="8"/>
      <c r="IT682" s="8"/>
      <c r="IU682" s="8"/>
      <c r="IV682" s="8"/>
    </row>
    <row r="683" ht="12.75" customHeight="1">
      <c r="A683" s="8"/>
      <c r="HT683" s="8"/>
      <c r="HU683" s="8"/>
      <c r="HV683" s="8"/>
      <c r="HW683" s="8"/>
      <c r="HX683" s="8"/>
      <c r="HY683" s="8"/>
      <c r="HZ683" s="8"/>
      <c r="IA683" s="8"/>
      <c r="IB683" s="8"/>
      <c r="IC683" s="8"/>
      <c r="ID683" s="8"/>
      <c r="IE683" s="8"/>
      <c r="IF683" s="8"/>
      <c r="IG683" s="8"/>
      <c r="IH683" s="8"/>
      <c r="II683" s="8"/>
      <c r="IJ683" s="8"/>
      <c r="IK683" s="8"/>
      <c r="IL683" s="8"/>
      <c r="IM683" s="8"/>
      <c r="IN683" s="8"/>
      <c r="IO683" s="8"/>
      <c r="IP683" s="8"/>
      <c r="IQ683" s="8"/>
      <c r="IR683" s="8"/>
      <c r="IS683" s="8"/>
      <c r="IT683" s="8"/>
      <c r="IU683" s="8"/>
      <c r="IV683" s="8"/>
    </row>
    <row r="684" ht="12.75" customHeight="1">
      <c r="A684" s="8"/>
      <c r="HT684" s="8"/>
      <c r="HU684" s="8"/>
      <c r="HV684" s="8"/>
      <c r="HW684" s="8"/>
      <c r="HX684" s="8"/>
      <c r="HY684" s="8"/>
      <c r="HZ684" s="8"/>
      <c r="IA684" s="8"/>
      <c r="IB684" s="8"/>
      <c r="IC684" s="8"/>
      <c r="ID684" s="8"/>
      <c r="IE684" s="8"/>
      <c r="IF684" s="8"/>
      <c r="IG684" s="8"/>
      <c r="IH684" s="8"/>
      <c r="II684" s="8"/>
      <c r="IJ684" s="8"/>
      <c r="IK684" s="8"/>
      <c r="IL684" s="8"/>
      <c r="IM684" s="8"/>
      <c r="IN684" s="8"/>
      <c r="IO684" s="8"/>
      <c r="IP684" s="8"/>
      <c r="IQ684" s="8"/>
      <c r="IR684" s="8"/>
      <c r="IS684" s="8"/>
      <c r="IT684" s="8"/>
      <c r="IU684" s="8"/>
      <c r="IV684" s="8"/>
    </row>
    <row r="685" ht="12.75" customHeight="1">
      <c r="A685" s="8"/>
      <c r="HT685" s="8"/>
      <c r="HU685" s="8"/>
      <c r="HV685" s="8"/>
      <c r="HW685" s="8"/>
      <c r="HX685" s="8"/>
      <c r="HY685" s="8"/>
      <c r="HZ685" s="8"/>
      <c r="IA685" s="8"/>
      <c r="IB685" s="8"/>
      <c r="IC685" s="8"/>
      <c r="ID685" s="8"/>
      <c r="IE685" s="8"/>
      <c r="IF685" s="8"/>
      <c r="IG685" s="8"/>
      <c r="IH685" s="8"/>
      <c r="II685" s="8"/>
      <c r="IJ685" s="8"/>
      <c r="IK685" s="8"/>
      <c r="IL685" s="8"/>
      <c r="IM685" s="8"/>
      <c r="IN685" s="8"/>
      <c r="IO685" s="8"/>
      <c r="IP685" s="8"/>
      <c r="IQ685" s="8"/>
      <c r="IR685" s="8"/>
      <c r="IS685" s="8"/>
      <c r="IT685" s="8"/>
      <c r="IU685" s="8"/>
      <c r="IV685" s="8"/>
    </row>
    <row r="686" ht="12.75" customHeight="1">
      <c r="A686" s="8"/>
      <c r="HT686" s="8"/>
      <c r="HU686" s="8"/>
      <c r="HV686" s="8"/>
      <c r="HW686" s="8"/>
      <c r="HX686" s="8"/>
      <c r="HY686" s="8"/>
      <c r="HZ686" s="8"/>
      <c r="IA686" s="8"/>
      <c r="IB686" s="8"/>
      <c r="IC686" s="8"/>
      <c r="ID686" s="8"/>
      <c r="IE686" s="8"/>
      <c r="IF686" s="8"/>
      <c r="IG686" s="8"/>
      <c r="IH686" s="8"/>
      <c r="II686" s="8"/>
      <c r="IJ686" s="8"/>
      <c r="IK686" s="8"/>
      <c r="IL686" s="8"/>
      <c r="IM686" s="8"/>
      <c r="IN686" s="8"/>
      <c r="IO686" s="8"/>
      <c r="IP686" s="8"/>
      <c r="IQ686" s="8"/>
      <c r="IR686" s="8"/>
      <c r="IS686" s="8"/>
      <c r="IT686" s="8"/>
      <c r="IU686" s="8"/>
      <c r="IV686" s="8"/>
    </row>
    <row r="687" ht="12.75" customHeight="1">
      <c r="A687" s="8"/>
      <c r="HT687" s="8"/>
      <c r="HU687" s="8"/>
      <c r="HV687" s="8"/>
      <c r="HW687" s="8"/>
      <c r="HX687" s="8"/>
      <c r="HY687" s="8"/>
      <c r="HZ687" s="8"/>
      <c r="IA687" s="8"/>
      <c r="IB687" s="8"/>
      <c r="IC687" s="8"/>
      <c r="ID687" s="8"/>
      <c r="IE687" s="8"/>
      <c r="IF687" s="8"/>
      <c r="IG687" s="8"/>
      <c r="IH687" s="8"/>
      <c r="II687" s="8"/>
      <c r="IJ687" s="8"/>
      <c r="IK687" s="8"/>
      <c r="IL687" s="8"/>
      <c r="IM687" s="8"/>
      <c r="IN687" s="8"/>
      <c r="IO687" s="8"/>
      <c r="IP687" s="8"/>
      <c r="IQ687" s="8"/>
      <c r="IR687" s="8"/>
      <c r="IS687" s="8"/>
      <c r="IT687" s="8"/>
      <c r="IU687" s="8"/>
      <c r="IV687" s="8"/>
    </row>
    <row r="688" ht="12.75" customHeight="1">
      <c r="A688" s="8"/>
      <c r="HT688" s="8"/>
      <c r="HU688" s="8"/>
      <c r="HV688" s="8"/>
      <c r="HW688" s="8"/>
      <c r="HX688" s="8"/>
      <c r="HY688" s="8"/>
      <c r="HZ688" s="8"/>
      <c r="IA688" s="8"/>
      <c r="IB688" s="8"/>
      <c r="IC688" s="8"/>
      <c r="ID688" s="8"/>
      <c r="IE688" s="8"/>
      <c r="IF688" s="8"/>
      <c r="IG688" s="8"/>
      <c r="IH688" s="8"/>
      <c r="II688" s="8"/>
      <c r="IJ688" s="8"/>
      <c r="IK688" s="8"/>
      <c r="IL688" s="8"/>
      <c r="IM688" s="8"/>
      <c r="IN688" s="8"/>
      <c r="IO688" s="8"/>
      <c r="IP688" s="8"/>
      <c r="IQ688" s="8"/>
      <c r="IR688" s="8"/>
      <c r="IS688" s="8"/>
      <c r="IT688" s="8"/>
      <c r="IU688" s="8"/>
      <c r="IV688" s="8"/>
    </row>
    <row r="689" ht="12.75" customHeight="1">
      <c r="A689" s="8"/>
      <c r="HT689" s="8"/>
      <c r="HU689" s="8"/>
      <c r="HV689" s="8"/>
      <c r="HW689" s="8"/>
      <c r="HX689" s="8"/>
      <c r="HY689" s="8"/>
      <c r="HZ689" s="8"/>
      <c r="IA689" s="8"/>
      <c r="IB689" s="8"/>
      <c r="IC689" s="8"/>
      <c r="ID689" s="8"/>
      <c r="IE689" s="8"/>
      <c r="IF689" s="8"/>
      <c r="IG689" s="8"/>
      <c r="IH689" s="8"/>
      <c r="II689" s="8"/>
      <c r="IJ689" s="8"/>
      <c r="IK689" s="8"/>
      <c r="IL689" s="8"/>
      <c r="IM689" s="8"/>
      <c r="IN689" s="8"/>
      <c r="IO689" s="8"/>
      <c r="IP689" s="8"/>
      <c r="IQ689" s="8"/>
      <c r="IR689" s="8"/>
      <c r="IS689" s="8"/>
      <c r="IT689" s="8"/>
      <c r="IU689" s="8"/>
      <c r="IV689" s="8"/>
    </row>
    <row r="690" ht="12.75" customHeight="1">
      <c r="A690" s="8"/>
      <c r="HT690" s="8"/>
      <c r="HU690" s="8"/>
      <c r="HV690" s="8"/>
      <c r="HW690" s="8"/>
      <c r="HX690" s="8"/>
      <c r="HY690" s="8"/>
      <c r="HZ690" s="8"/>
      <c r="IA690" s="8"/>
      <c r="IB690" s="8"/>
      <c r="IC690" s="8"/>
      <c r="ID690" s="8"/>
      <c r="IE690" s="8"/>
      <c r="IF690" s="8"/>
      <c r="IG690" s="8"/>
      <c r="IH690" s="8"/>
      <c r="II690" s="8"/>
      <c r="IJ690" s="8"/>
      <c r="IK690" s="8"/>
      <c r="IL690" s="8"/>
      <c r="IM690" s="8"/>
      <c r="IN690" s="8"/>
      <c r="IO690" s="8"/>
      <c r="IP690" s="8"/>
      <c r="IQ690" s="8"/>
      <c r="IR690" s="8"/>
      <c r="IS690" s="8"/>
      <c r="IT690" s="8"/>
      <c r="IU690" s="8"/>
      <c r="IV690" s="8"/>
    </row>
    <row r="691" ht="12.75" customHeight="1">
      <c r="A691" s="8"/>
      <c r="HT691" s="8"/>
      <c r="HU691" s="8"/>
      <c r="HV691" s="8"/>
      <c r="HW691" s="8"/>
      <c r="HX691" s="8"/>
      <c r="HY691" s="8"/>
      <c r="HZ691" s="8"/>
      <c r="IA691" s="8"/>
      <c r="IB691" s="8"/>
      <c r="IC691" s="8"/>
      <c r="ID691" s="8"/>
      <c r="IE691" s="8"/>
      <c r="IF691" s="8"/>
      <c r="IG691" s="8"/>
      <c r="IH691" s="8"/>
      <c r="II691" s="8"/>
      <c r="IJ691" s="8"/>
      <c r="IK691" s="8"/>
      <c r="IL691" s="8"/>
      <c r="IM691" s="8"/>
      <c r="IN691" s="8"/>
      <c r="IO691" s="8"/>
      <c r="IP691" s="8"/>
      <c r="IQ691" s="8"/>
      <c r="IR691" s="8"/>
      <c r="IS691" s="8"/>
      <c r="IT691" s="8"/>
      <c r="IU691" s="8"/>
      <c r="IV691" s="8"/>
    </row>
    <row r="692" ht="12.75" customHeight="1">
      <c r="A692" s="8"/>
      <c r="HT692" s="8"/>
      <c r="HU692" s="8"/>
      <c r="HV692" s="8"/>
      <c r="HW692" s="8"/>
      <c r="HX692" s="8"/>
      <c r="HY692" s="8"/>
      <c r="HZ692" s="8"/>
      <c r="IA692" s="8"/>
      <c r="IB692" s="8"/>
      <c r="IC692" s="8"/>
      <c r="ID692" s="8"/>
      <c r="IE692" s="8"/>
      <c r="IF692" s="8"/>
      <c r="IG692" s="8"/>
      <c r="IH692" s="8"/>
      <c r="II692" s="8"/>
      <c r="IJ692" s="8"/>
      <c r="IK692" s="8"/>
      <c r="IL692" s="8"/>
      <c r="IM692" s="8"/>
      <c r="IN692" s="8"/>
      <c r="IO692" s="8"/>
      <c r="IP692" s="8"/>
      <c r="IQ692" s="8"/>
      <c r="IR692" s="8"/>
      <c r="IS692" s="8"/>
      <c r="IT692" s="8"/>
      <c r="IU692" s="8"/>
      <c r="IV692" s="8"/>
    </row>
    <row r="693" ht="12.75" customHeight="1">
      <c r="A693" s="8"/>
      <c r="HT693" s="8"/>
      <c r="HU693" s="8"/>
      <c r="HV693" s="8"/>
      <c r="HW693" s="8"/>
      <c r="HX693" s="8"/>
      <c r="HY693" s="8"/>
      <c r="HZ693" s="8"/>
      <c r="IA693" s="8"/>
      <c r="IB693" s="8"/>
      <c r="IC693" s="8"/>
      <c r="ID693" s="8"/>
      <c r="IE693" s="8"/>
      <c r="IF693" s="8"/>
      <c r="IG693" s="8"/>
      <c r="IH693" s="8"/>
      <c r="II693" s="8"/>
      <c r="IJ693" s="8"/>
      <c r="IK693" s="8"/>
      <c r="IL693" s="8"/>
      <c r="IM693" s="8"/>
      <c r="IN693" s="8"/>
      <c r="IO693" s="8"/>
      <c r="IP693" s="8"/>
      <c r="IQ693" s="8"/>
      <c r="IR693" s="8"/>
      <c r="IS693" s="8"/>
      <c r="IT693" s="8"/>
      <c r="IU693" s="8"/>
      <c r="IV693" s="8"/>
    </row>
    <row r="694" ht="12.75" customHeight="1">
      <c r="A694" s="8"/>
      <c r="HT694" s="8"/>
      <c r="HU694" s="8"/>
      <c r="HV694" s="8"/>
      <c r="HW694" s="8"/>
      <c r="HX694" s="8"/>
      <c r="HY694" s="8"/>
      <c r="HZ694" s="8"/>
      <c r="IA694" s="8"/>
      <c r="IB694" s="8"/>
      <c r="IC694" s="8"/>
      <c r="ID694" s="8"/>
      <c r="IE694" s="8"/>
      <c r="IF694" s="8"/>
      <c r="IG694" s="8"/>
      <c r="IH694" s="8"/>
      <c r="II694" s="8"/>
      <c r="IJ694" s="8"/>
      <c r="IK694" s="8"/>
      <c r="IL694" s="8"/>
      <c r="IM694" s="8"/>
      <c r="IN694" s="8"/>
      <c r="IO694" s="8"/>
      <c r="IP694" s="8"/>
      <c r="IQ694" s="8"/>
      <c r="IR694" s="8"/>
      <c r="IS694" s="8"/>
      <c r="IT694" s="8"/>
      <c r="IU694" s="8"/>
      <c r="IV694" s="8"/>
    </row>
    <row r="695" ht="12.75" customHeight="1">
      <c r="A695" s="8"/>
      <c r="HT695" s="8"/>
      <c r="HU695" s="8"/>
      <c r="HV695" s="8"/>
      <c r="HW695" s="8"/>
      <c r="HX695" s="8"/>
      <c r="HY695" s="8"/>
      <c r="HZ695" s="8"/>
      <c r="IA695" s="8"/>
      <c r="IB695" s="8"/>
      <c r="IC695" s="8"/>
      <c r="ID695" s="8"/>
      <c r="IE695" s="8"/>
      <c r="IF695" s="8"/>
      <c r="IG695" s="8"/>
      <c r="IH695" s="8"/>
      <c r="II695" s="8"/>
      <c r="IJ695" s="8"/>
      <c r="IK695" s="8"/>
      <c r="IL695" s="8"/>
      <c r="IM695" s="8"/>
      <c r="IN695" s="8"/>
      <c r="IO695" s="8"/>
      <c r="IP695" s="8"/>
      <c r="IQ695" s="8"/>
      <c r="IR695" s="8"/>
      <c r="IS695" s="8"/>
      <c r="IT695" s="8"/>
      <c r="IU695" s="8"/>
      <c r="IV695" s="8"/>
    </row>
    <row r="696" ht="12.75" customHeight="1">
      <c r="A696" s="8"/>
      <c r="HT696" s="8"/>
      <c r="HU696" s="8"/>
      <c r="HV696" s="8"/>
      <c r="HW696" s="8"/>
      <c r="HX696" s="8"/>
      <c r="HY696" s="8"/>
      <c r="HZ696" s="8"/>
      <c r="IA696" s="8"/>
      <c r="IB696" s="8"/>
      <c r="IC696" s="8"/>
      <c r="ID696" s="8"/>
      <c r="IE696" s="8"/>
      <c r="IF696" s="8"/>
      <c r="IG696" s="8"/>
      <c r="IH696" s="8"/>
      <c r="II696" s="8"/>
      <c r="IJ696" s="8"/>
      <c r="IK696" s="8"/>
      <c r="IL696" s="8"/>
      <c r="IM696" s="8"/>
      <c r="IN696" s="8"/>
      <c r="IO696" s="8"/>
      <c r="IP696" s="8"/>
      <c r="IQ696" s="8"/>
      <c r="IR696" s="8"/>
      <c r="IS696" s="8"/>
      <c r="IT696" s="8"/>
      <c r="IU696" s="8"/>
      <c r="IV696" s="8"/>
    </row>
    <row r="697" ht="12.75" customHeight="1">
      <c r="A697" s="8"/>
      <c r="HT697" s="8"/>
      <c r="HU697" s="8"/>
      <c r="HV697" s="8"/>
      <c r="HW697" s="8"/>
      <c r="HX697" s="8"/>
      <c r="HY697" s="8"/>
      <c r="HZ697" s="8"/>
      <c r="IA697" s="8"/>
      <c r="IB697" s="8"/>
      <c r="IC697" s="8"/>
      <c r="ID697" s="8"/>
      <c r="IE697" s="8"/>
      <c r="IF697" s="8"/>
      <c r="IG697" s="8"/>
      <c r="IH697" s="8"/>
      <c r="II697" s="8"/>
      <c r="IJ697" s="8"/>
      <c r="IK697" s="8"/>
      <c r="IL697" s="8"/>
      <c r="IM697" s="8"/>
      <c r="IN697" s="8"/>
      <c r="IO697" s="8"/>
      <c r="IP697" s="8"/>
      <c r="IQ697" s="8"/>
      <c r="IR697" s="8"/>
      <c r="IS697" s="8"/>
      <c r="IT697" s="8"/>
      <c r="IU697" s="8"/>
      <c r="IV697" s="8"/>
    </row>
    <row r="698" ht="12.75" customHeight="1">
      <c r="A698" s="8"/>
      <c r="HT698" s="8"/>
      <c r="HU698" s="8"/>
      <c r="HV698" s="8"/>
      <c r="HW698" s="8"/>
      <c r="HX698" s="8"/>
      <c r="HY698" s="8"/>
      <c r="HZ698" s="8"/>
      <c r="IA698" s="8"/>
      <c r="IB698" s="8"/>
      <c r="IC698" s="8"/>
      <c r="ID698" s="8"/>
      <c r="IE698" s="8"/>
      <c r="IF698" s="8"/>
      <c r="IG698" s="8"/>
      <c r="IH698" s="8"/>
      <c r="II698" s="8"/>
      <c r="IJ698" s="8"/>
      <c r="IK698" s="8"/>
      <c r="IL698" s="8"/>
      <c r="IM698" s="8"/>
      <c r="IN698" s="8"/>
      <c r="IO698" s="8"/>
      <c r="IP698" s="8"/>
      <c r="IQ698" s="8"/>
      <c r="IR698" s="8"/>
      <c r="IS698" s="8"/>
      <c r="IT698" s="8"/>
      <c r="IU698" s="8"/>
      <c r="IV698" s="8"/>
    </row>
    <row r="699" ht="12.75" customHeight="1">
      <c r="A699" s="8"/>
      <c r="HT699" s="8"/>
      <c r="HU699" s="8"/>
      <c r="HV699" s="8"/>
      <c r="HW699" s="8"/>
      <c r="HX699" s="8"/>
      <c r="HY699" s="8"/>
      <c r="HZ699" s="8"/>
      <c r="IA699" s="8"/>
      <c r="IB699" s="8"/>
      <c r="IC699" s="8"/>
      <c r="ID699" s="8"/>
      <c r="IE699" s="8"/>
      <c r="IF699" s="8"/>
      <c r="IG699" s="8"/>
      <c r="IH699" s="8"/>
      <c r="II699" s="8"/>
      <c r="IJ699" s="8"/>
      <c r="IK699" s="8"/>
      <c r="IL699" s="8"/>
      <c r="IM699" s="8"/>
      <c r="IN699" s="8"/>
      <c r="IO699" s="8"/>
      <c r="IP699" s="8"/>
      <c r="IQ699" s="8"/>
      <c r="IR699" s="8"/>
      <c r="IS699" s="8"/>
      <c r="IT699" s="8"/>
      <c r="IU699" s="8"/>
      <c r="IV699" s="8"/>
    </row>
    <row r="700" ht="12.75" customHeight="1">
      <c r="A700" s="8"/>
      <c r="HT700" s="8"/>
      <c r="HU700" s="8"/>
      <c r="HV700" s="8"/>
      <c r="HW700" s="8"/>
      <c r="HX700" s="8"/>
      <c r="HY700" s="8"/>
      <c r="HZ700" s="8"/>
      <c r="IA700" s="8"/>
      <c r="IB700" s="8"/>
      <c r="IC700" s="8"/>
      <c r="ID700" s="8"/>
      <c r="IE700" s="8"/>
      <c r="IF700" s="8"/>
      <c r="IG700" s="8"/>
      <c r="IH700" s="8"/>
      <c r="II700" s="8"/>
      <c r="IJ700" s="8"/>
      <c r="IK700" s="8"/>
      <c r="IL700" s="8"/>
      <c r="IM700" s="8"/>
      <c r="IN700" s="8"/>
      <c r="IO700" s="8"/>
      <c r="IP700" s="8"/>
      <c r="IQ700" s="8"/>
      <c r="IR700" s="8"/>
      <c r="IS700" s="8"/>
      <c r="IT700" s="8"/>
      <c r="IU700" s="8"/>
      <c r="IV700" s="8"/>
    </row>
    <row r="701" ht="12.75" customHeight="1">
      <c r="A701" s="8"/>
      <c r="HT701" s="8"/>
      <c r="HU701" s="8"/>
      <c r="HV701" s="8"/>
      <c r="HW701" s="8"/>
      <c r="HX701" s="8"/>
      <c r="HY701" s="8"/>
      <c r="HZ701" s="8"/>
      <c r="IA701" s="8"/>
      <c r="IB701" s="8"/>
      <c r="IC701" s="8"/>
      <c r="ID701" s="8"/>
      <c r="IE701" s="8"/>
      <c r="IF701" s="8"/>
      <c r="IG701" s="8"/>
      <c r="IH701" s="8"/>
      <c r="II701" s="8"/>
      <c r="IJ701" s="8"/>
      <c r="IK701" s="8"/>
      <c r="IL701" s="8"/>
      <c r="IM701" s="8"/>
      <c r="IN701" s="8"/>
      <c r="IO701" s="8"/>
      <c r="IP701" s="8"/>
      <c r="IQ701" s="8"/>
      <c r="IR701" s="8"/>
      <c r="IS701" s="8"/>
      <c r="IT701" s="8"/>
      <c r="IU701" s="8"/>
      <c r="IV701" s="8"/>
    </row>
    <row r="702" ht="12.75" customHeight="1">
      <c r="A702" s="8"/>
      <c r="HT702" s="8"/>
      <c r="HU702" s="8"/>
      <c r="HV702" s="8"/>
      <c r="HW702" s="8"/>
      <c r="HX702" s="8"/>
      <c r="HY702" s="8"/>
      <c r="HZ702" s="8"/>
      <c r="IA702" s="8"/>
      <c r="IB702" s="8"/>
      <c r="IC702" s="8"/>
      <c r="ID702" s="8"/>
      <c r="IE702" s="8"/>
      <c r="IF702" s="8"/>
      <c r="IG702" s="8"/>
      <c r="IH702" s="8"/>
      <c r="II702" s="8"/>
      <c r="IJ702" s="8"/>
      <c r="IK702" s="8"/>
      <c r="IL702" s="8"/>
      <c r="IM702" s="8"/>
      <c r="IN702" s="8"/>
      <c r="IO702" s="8"/>
      <c r="IP702" s="8"/>
      <c r="IQ702" s="8"/>
      <c r="IR702" s="8"/>
      <c r="IS702" s="8"/>
      <c r="IT702" s="8"/>
      <c r="IU702" s="8"/>
      <c r="IV702" s="8"/>
    </row>
    <row r="703" ht="12.75" customHeight="1">
      <c r="A703" s="8"/>
      <c r="HT703" s="8"/>
      <c r="HU703" s="8"/>
      <c r="HV703" s="8"/>
      <c r="HW703" s="8"/>
      <c r="HX703" s="8"/>
      <c r="HY703" s="8"/>
      <c r="HZ703" s="8"/>
      <c r="IA703" s="8"/>
      <c r="IB703" s="8"/>
      <c r="IC703" s="8"/>
      <c r="ID703" s="8"/>
      <c r="IE703" s="8"/>
      <c r="IF703" s="8"/>
      <c r="IG703" s="8"/>
      <c r="IH703" s="8"/>
      <c r="II703" s="8"/>
      <c r="IJ703" s="8"/>
      <c r="IK703" s="8"/>
      <c r="IL703" s="8"/>
      <c r="IM703" s="8"/>
      <c r="IN703" s="8"/>
      <c r="IO703" s="8"/>
      <c r="IP703" s="8"/>
      <c r="IQ703" s="8"/>
      <c r="IR703" s="8"/>
      <c r="IS703" s="8"/>
      <c r="IT703" s="8"/>
      <c r="IU703" s="8"/>
      <c r="IV703" s="8"/>
    </row>
    <row r="704" ht="12.75" customHeight="1">
      <c r="A704" s="8"/>
      <c r="HT704" s="8"/>
      <c r="HU704" s="8"/>
      <c r="HV704" s="8"/>
      <c r="HW704" s="8"/>
      <c r="HX704" s="8"/>
      <c r="HY704" s="8"/>
      <c r="HZ704" s="8"/>
      <c r="IA704" s="8"/>
      <c r="IB704" s="8"/>
      <c r="IC704" s="8"/>
      <c r="ID704" s="8"/>
      <c r="IE704" s="8"/>
      <c r="IF704" s="8"/>
      <c r="IG704" s="8"/>
      <c r="IH704" s="8"/>
      <c r="II704" s="8"/>
      <c r="IJ704" s="8"/>
      <c r="IK704" s="8"/>
      <c r="IL704" s="8"/>
      <c r="IM704" s="8"/>
      <c r="IN704" s="8"/>
      <c r="IO704" s="8"/>
      <c r="IP704" s="8"/>
      <c r="IQ704" s="8"/>
      <c r="IR704" s="8"/>
      <c r="IS704" s="8"/>
      <c r="IT704" s="8"/>
      <c r="IU704" s="8"/>
      <c r="IV704" s="8"/>
    </row>
    <row r="705" ht="12.75" customHeight="1">
      <c r="A705" s="8"/>
      <c r="HT705" s="8"/>
      <c r="HU705" s="8"/>
      <c r="HV705" s="8"/>
      <c r="HW705" s="8"/>
      <c r="HX705" s="8"/>
      <c r="HY705" s="8"/>
      <c r="HZ705" s="8"/>
      <c r="IA705" s="8"/>
      <c r="IB705" s="8"/>
      <c r="IC705" s="8"/>
      <c r="ID705" s="8"/>
      <c r="IE705" s="8"/>
      <c r="IF705" s="8"/>
      <c r="IG705" s="8"/>
      <c r="IH705" s="8"/>
      <c r="II705" s="8"/>
      <c r="IJ705" s="8"/>
      <c r="IK705" s="8"/>
      <c r="IL705" s="8"/>
      <c r="IM705" s="8"/>
      <c r="IN705" s="8"/>
      <c r="IO705" s="8"/>
      <c r="IP705" s="8"/>
      <c r="IQ705" s="8"/>
      <c r="IR705" s="8"/>
      <c r="IS705" s="8"/>
      <c r="IT705" s="8"/>
      <c r="IU705" s="8"/>
      <c r="IV705" s="8"/>
    </row>
    <row r="706" ht="12.75" customHeight="1">
      <c r="A706" s="8"/>
      <c r="HT706" s="8"/>
      <c r="HU706" s="8"/>
      <c r="HV706" s="8"/>
      <c r="HW706" s="8"/>
      <c r="HX706" s="8"/>
      <c r="HY706" s="8"/>
      <c r="HZ706" s="8"/>
      <c r="IA706" s="8"/>
      <c r="IB706" s="8"/>
      <c r="IC706" s="8"/>
      <c r="ID706" s="8"/>
      <c r="IE706" s="8"/>
      <c r="IF706" s="8"/>
      <c r="IG706" s="8"/>
      <c r="IH706" s="8"/>
      <c r="II706" s="8"/>
      <c r="IJ706" s="8"/>
      <c r="IK706" s="8"/>
      <c r="IL706" s="8"/>
      <c r="IM706" s="8"/>
      <c r="IN706" s="8"/>
      <c r="IO706" s="8"/>
      <c r="IP706" s="8"/>
      <c r="IQ706" s="8"/>
      <c r="IR706" s="8"/>
      <c r="IS706" s="8"/>
      <c r="IT706" s="8"/>
      <c r="IU706" s="8"/>
      <c r="IV706" s="8"/>
    </row>
    <row r="707" ht="12.75" customHeight="1">
      <c r="A707" s="8"/>
      <c r="HT707" s="8"/>
      <c r="HU707" s="8"/>
      <c r="HV707" s="8"/>
      <c r="HW707" s="8"/>
      <c r="HX707" s="8"/>
      <c r="HY707" s="8"/>
      <c r="HZ707" s="8"/>
      <c r="IA707" s="8"/>
      <c r="IB707" s="8"/>
      <c r="IC707" s="8"/>
      <c r="ID707" s="8"/>
      <c r="IE707" s="8"/>
      <c r="IF707" s="8"/>
      <c r="IG707" s="8"/>
      <c r="IH707" s="8"/>
      <c r="II707" s="8"/>
      <c r="IJ707" s="8"/>
      <c r="IK707" s="8"/>
      <c r="IL707" s="8"/>
      <c r="IM707" s="8"/>
      <c r="IN707" s="8"/>
      <c r="IO707" s="8"/>
      <c r="IP707" s="8"/>
      <c r="IQ707" s="8"/>
      <c r="IR707" s="8"/>
      <c r="IS707" s="8"/>
      <c r="IT707" s="8"/>
      <c r="IU707" s="8"/>
      <c r="IV707" s="8"/>
    </row>
    <row r="708" ht="12.75" customHeight="1">
      <c r="A708" s="8"/>
      <c r="HT708" s="8"/>
      <c r="HU708" s="8"/>
      <c r="HV708" s="8"/>
      <c r="HW708" s="8"/>
      <c r="HX708" s="8"/>
      <c r="HY708" s="8"/>
      <c r="HZ708" s="8"/>
      <c r="IA708" s="8"/>
      <c r="IB708" s="8"/>
      <c r="IC708" s="8"/>
      <c r="ID708" s="8"/>
      <c r="IE708" s="8"/>
      <c r="IF708" s="8"/>
      <c r="IG708" s="8"/>
      <c r="IH708" s="8"/>
      <c r="II708" s="8"/>
      <c r="IJ708" s="8"/>
      <c r="IK708" s="8"/>
      <c r="IL708" s="8"/>
      <c r="IM708" s="8"/>
      <c r="IN708" s="8"/>
      <c r="IO708" s="8"/>
      <c r="IP708" s="8"/>
      <c r="IQ708" s="8"/>
      <c r="IR708" s="8"/>
      <c r="IS708" s="8"/>
      <c r="IT708" s="8"/>
      <c r="IU708" s="8"/>
      <c r="IV708" s="8"/>
    </row>
    <row r="709" ht="12.75" customHeight="1">
      <c r="A709" s="8"/>
      <c r="HT709" s="8"/>
      <c r="HU709" s="8"/>
      <c r="HV709" s="8"/>
      <c r="HW709" s="8"/>
      <c r="HX709" s="8"/>
      <c r="HY709" s="8"/>
      <c r="HZ709" s="8"/>
      <c r="IA709" s="8"/>
      <c r="IB709" s="8"/>
      <c r="IC709" s="8"/>
      <c r="ID709" s="8"/>
      <c r="IE709" s="8"/>
      <c r="IF709" s="8"/>
      <c r="IG709" s="8"/>
      <c r="IH709" s="8"/>
      <c r="II709" s="8"/>
      <c r="IJ709" s="8"/>
      <c r="IK709" s="8"/>
      <c r="IL709" s="8"/>
      <c r="IM709" s="8"/>
      <c r="IN709" s="8"/>
      <c r="IO709" s="8"/>
      <c r="IP709" s="8"/>
      <c r="IQ709" s="8"/>
      <c r="IR709" s="8"/>
      <c r="IS709" s="8"/>
      <c r="IT709" s="8"/>
      <c r="IU709" s="8"/>
      <c r="IV709" s="8"/>
    </row>
    <row r="710" ht="12.75" customHeight="1">
      <c r="A710" s="8"/>
      <c r="HT710" s="8"/>
      <c r="HU710" s="8"/>
      <c r="HV710" s="8"/>
      <c r="HW710" s="8"/>
      <c r="HX710" s="8"/>
      <c r="HY710" s="8"/>
      <c r="HZ710" s="8"/>
      <c r="IA710" s="8"/>
      <c r="IB710" s="8"/>
      <c r="IC710" s="8"/>
      <c r="ID710" s="8"/>
      <c r="IE710" s="8"/>
      <c r="IF710" s="8"/>
      <c r="IG710" s="8"/>
      <c r="IH710" s="8"/>
      <c r="II710" s="8"/>
      <c r="IJ710" s="8"/>
      <c r="IK710" s="8"/>
      <c r="IL710" s="8"/>
      <c r="IM710" s="8"/>
      <c r="IN710" s="8"/>
      <c r="IO710" s="8"/>
      <c r="IP710" s="8"/>
      <c r="IQ710" s="8"/>
      <c r="IR710" s="8"/>
      <c r="IS710" s="8"/>
      <c r="IT710" s="8"/>
      <c r="IU710" s="8"/>
      <c r="IV710" s="8"/>
    </row>
    <row r="711" ht="12.75" customHeight="1">
      <c r="A711" s="8"/>
      <c r="HT711" s="8"/>
      <c r="HU711" s="8"/>
      <c r="HV711" s="8"/>
      <c r="HW711" s="8"/>
      <c r="HX711" s="8"/>
      <c r="HY711" s="8"/>
      <c r="HZ711" s="8"/>
      <c r="IA711" s="8"/>
      <c r="IB711" s="8"/>
      <c r="IC711" s="8"/>
      <c r="ID711" s="8"/>
      <c r="IE711" s="8"/>
      <c r="IF711" s="8"/>
      <c r="IG711" s="8"/>
      <c r="IH711" s="8"/>
      <c r="II711" s="8"/>
      <c r="IJ711" s="8"/>
      <c r="IK711" s="8"/>
      <c r="IL711" s="8"/>
      <c r="IM711" s="8"/>
      <c r="IN711" s="8"/>
      <c r="IO711" s="8"/>
      <c r="IP711" s="8"/>
      <c r="IQ711" s="8"/>
      <c r="IR711" s="8"/>
      <c r="IS711" s="8"/>
      <c r="IT711" s="8"/>
      <c r="IU711" s="8"/>
      <c r="IV711" s="8"/>
    </row>
    <row r="712" ht="12.75" customHeight="1">
      <c r="A712" s="8"/>
      <c r="HT712" s="8"/>
      <c r="HU712" s="8"/>
      <c r="HV712" s="8"/>
      <c r="HW712" s="8"/>
      <c r="HX712" s="8"/>
      <c r="HY712" s="8"/>
      <c r="HZ712" s="8"/>
      <c r="IA712" s="8"/>
      <c r="IB712" s="8"/>
      <c r="IC712" s="8"/>
      <c r="ID712" s="8"/>
      <c r="IE712" s="8"/>
      <c r="IF712" s="8"/>
      <c r="IG712" s="8"/>
      <c r="IH712" s="8"/>
      <c r="II712" s="8"/>
      <c r="IJ712" s="8"/>
      <c r="IK712" s="8"/>
      <c r="IL712" s="8"/>
      <c r="IM712" s="8"/>
      <c r="IN712" s="8"/>
      <c r="IO712" s="8"/>
      <c r="IP712" s="8"/>
      <c r="IQ712" s="8"/>
      <c r="IR712" s="8"/>
      <c r="IS712" s="8"/>
      <c r="IT712" s="8"/>
      <c r="IU712" s="8"/>
      <c r="IV712" s="8"/>
    </row>
    <row r="713" ht="12.75" customHeight="1">
      <c r="A713" s="8"/>
      <c r="HT713" s="8"/>
      <c r="HU713" s="8"/>
      <c r="HV713" s="8"/>
      <c r="HW713" s="8"/>
      <c r="HX713" s="8"/>
      <c r="HY713" s="8"/>
      <c r="HZ713" s="8"/>
      <c r="IA713" s="8"/>
      <c r="IB713" s="8"/>
      <c r="IC713" s="8"/>
      <c r="ID713" s="8"/>
      <c r="IE713" s="8"/>
      <c r="IF713" s="8"/>
      <c r="IG713" s="8"/>
      <c r="IH713" s="8"/>
      <c r="II713" s="8"/>
      <c r="IJ713" s="8"/>
      <c r="IK713" s="8"/>
      <c r="IL713" s="8"/>
      <c r="IM713" s="8"/>
      <c r="IN713" s="8"/>
      <c r="IO713" s="8"/>
      <c r="IP713" s="8"/>
      <c r="IQ713" s="8"/>
      <c r="IR713" s="8"/>
      <c r="IS713" s="8"/>
      <c r="IT713" s="8"/>
      <c r="IU713" s="8"/>
      <c r="IV713" s="8"/>
    </row>
    <row r="714" ht="12.75" customHeight="1">
      <c r="A714" s="8"/>
      <c r="HT714" s="8"/>
      <c r="HU714" s="8"/>
      <c r="HV714" s="8"/>
      <c r="HW714" s="8"/>
      <c r="HX714" s="8"/>
      <c r="HY714" s="8"/>
      <c r="HZ714" s="8"/>
      <c r="IA714" s="8"/>
      <c r="IB714" s="8"/>
      <c r="IC714" s="8"/>
      <c r="ID714" s="8"/>
      <c r="IE714" s="8"/>
      <c r="IF714" s="8"/>
      <c r="IG714" s="8"/>
      <c r="IH714" s="8"/>
      <c r="II714" s="8"/>
      <c r="IJ714" s="8"/>
      <c r="IK714" s="8"/>
      <c r="IL714" s="8"/>
      <c r="IM714" s="8"/>
      <c r="IN714" s="8"/>
      <c r="IO714" s="8"/>
      <c r="IP714" s="8"/>
      <c r="IQ714" s="8"/>
      <c r="IR714" s="8"/>
      <c r="IS714" s="8"/>
      <c r="IT714" s="8"/>
      <c r="IU714" s="8"/>
      <c r="IV714" s="8"/>
    </row>
    <row r="715" ht="12.75" customHeight="1">
      <c r="A715" s="8"/>
      <c r="HT715" s="8"/>
      <c r="HU715" s="8"/>
      <c r="HV715" s="8"/>
      <c r="HW715" s="8"/>
      <c r="HX715" s="8"/>
      <c r="HY715" s="8"/>
      <c r="HZ715" s="8"/>
      <c r="IA715" s="8"/>
      <c r="IB715" s="8"/>
      <c r="IC715" s="8"/>
      <c r="ID715" s="8"/>
      <c r="IE715" s="8"/>
      <c r="IF715" s="8"/>
      <c r="IG715" s="8"/>
      <c r="IH715" s="8"/>
      <c r="II715" s="8"/>
      <c r="IJ715" s="8"/>
      <c r="IK715" s="8"/>
      <c r="IL715" s="8"/>
      <c r="IM715" s="8"/>
      <c r="IN715" s="8"/>
      <c r="IO715" s="8"/>
      <c r="IP715" s="8"/>
      <c r="IQ715" s="8"/>
      <c r="IR715" s="8"/>
      <c r="IS715" s="8"/>
      <c r="IT715" s="8"/>
      <c r="IU715" s="8"/>
      <c r="IV715" s="8"/>
    </row>
    <row r="716" ht="12.75" customHeight="1">
      <c r="A716" s="8"/>
      <c r="HT716" s="8"/>
      <c r="HU716" s="8"/>
      <c r="HV716" s="8"/>
      <c r="HW716" s="8"/>
      <c r="HX716" s="8"/>
      <c r="HY716" s="8"/>
      <c r="HZ716" s="8"/>
      <c r="IA716" s="8"/>
      <c r="IB716" s="8"/>
      <c r="IC716" s="8"/>
      <c r="ID716" s="8"/>
      <c r="IE716" s="8"/>
      <c r="IF716" s="8"/>
      <c r="IG716" s="8"/>
      <c r="IH716" s="8"/>
      <c r="II716" s="8"/>
      <c r="IJ716" s="8"/>
      <c r="IK716" s="8"/>
      <c r="IL716" s="8"/>
      <c r="IM716" s="8"/>
      <c r="IN716" s="8"/>
      <c r="IO716" s="8"/>
      <c r="IP716" s="8"/>
      <c r="IQ716" s="8"/>
      <c r="IR716" s="8"/>
      <c r="IS716" s="8"/>
      <c r="IT716" s="8"/>
      <c r="IU716" s="8"/>
      <c r="IV716" s="8"/>
    </row>
    <row r="717" ht="12.75" customHeight="1">
      <c r="A717" s="8"/>
      <c r="HT717" s="8"/>
      <c r="HU717" s="8"/>
      <c r="HV717" s="8"/>
      <c r="HW717" s="8"/>
      <c r="HX717" s="8"/>
      <c r="HY717" s="8"/>
      <c r="HZ717" s="8"/>
      <c r="IA717" s="8"/>
      <c r="IB717" s="8"/>
      <c r="IC717" s="8"/>
      <c r="ID717" s="8"/>
      <c r="IE717" s="8"/>
      <c r="IF717" s="8"/>
      <c r="IG717" s="8"/>
      <c r="IH717" s="8"/>
      <c r="II717" s="8"/>
      <c r="IJ717" s="8"/>
      <c r="IK717" s="8"/>
      <c r="IL717" s="8"/>
      <c r="IM717" s="8"/>
      <c r="IN717" s="8"/>
      <c r="IO717" s="8"/>
      <c r="IP717" s="8"/>
      <c r="IQ717" s="8"/>
      <c r="IR717" s="8"/>
      <c r="IS717" s="8"/>
      <c r="IT717" s="8"/>
      <c r="IU717" s="8"/>
      <c r="IV717" s="8"/>
    </row>
    <row r="718" ht="12.75" customHeight="1">
      <c r="A718" s="8"/>
      <c r="HT718" s="8"/>
      <c r="HU718" s="8"/>
      <c r="HV718" s="8"/>
      <c r="HW718" s="8"/>
      <c r="HX718" s="8"/>
      <c r="HY718" s="8"/>
      <c r="HZ718" s="8"/>
      <c r="IA718" s="8"/>
      <c r="IB718" s="8"/>
      <c r="IC718" s="8"/>
      <c r="ID718" s="8"/>
      <c r="IE718" s="8"/>
      <c r="IF718" s="8"/>
      <c r="IG718" s="8"/>
      <c r="IH718" s="8"/>
      <c r="II718" s="8"/>
      <c r="IJ718" s="8"/>
      <c r="IK718" s="8"/>
      <c r="IL718" s="8"/>
      <c r="IM718" s="8"/>
      <c r="IN718" s="8"/>
      <c r="IO718" s="8"/>
      <c r="IP718" s="8"/>
      <c r="IQ718" s="8"/>
      <c r="IR718" s="8"/>
      <c r="IS718" s="8"/>
      <c r="IT718" s="8"/>
      <c r="IU718" s="8"/>
      <c r="IV718" s="8"/>
    </row>
    <row r="719" ht="12.75" customHeight="1">
      <c r="A719" s="8"/>
      <c r="HT719" s="8"/>
      <c r="HU719" s="8"/>
      <c r="HV719" s="8"/>
      <c r="HW719" s="8"/>
      <c r="HX719" s="8"/>
      <c r="HY719" s="8"/>
      <c r="HZ719" s="8"/>
      <c r="IA719" s="8"/>
      <c r="IB719" s="8"/>
      <c r="IC719" s="8"/>
      <c r="ID719" s="8"/>
      <c r="IE719" s="8"/>
      <c r="IF719" s="8"/>
      <c r="IG719" s="8"/>
      <c r="IH719" s="8"/>
      <c r="II719" s="8"/>
      <c r="IJ719" s="8"/>
      <c r="IK719" s="8"/>
      <c r="IL719" s="8"/>
      <c r="IM719" s="8"/>
      <c r="IN719" s="8"/>
      <c r="IO719" s="8"/>
      <c r="IP719" s="8"/>
      <c r="IQ719" s="8"/>
      <c r="IR719" s="8"/>
      <c r="IS719" s="8"/>
      <c r="IT719" s="8"/>
      <c r="IU719" s="8"/>
      <c r="IV719" s="8"/>
    </row>
    <row r="720" ht="12.75" customHeight="1">
      <c r="A720" s="8"/>
      <c r="HT720" s="8"/>
      <c r="HU720" s="8"/>
      <c r="HV720" s="8"/>
      <c r="HW720" s="8"/>
      <c r="HX720" s="8"/>
      <c r="HY720" s="8"/>
      <c r="HZ720" s="8"/>
      <c r="IA720" s="8"/>
      <c r="IB720" s="8"/>
      <c r="IC720" s="8"/>
      <c r="ID720" s="8"/>
      <c r="IE720" s="8"/>
      <c r="IF720" s="8"/>
      <c r="IG720" s="8"/>
      <c r="IH720" s="8"/>
      <c r="II720" s="8"/>
      <c r="IJ720" s="8"/>
      <c r="IK720" s="8"/>
      <c r="IL720" s="8"/>
      <c r="IM720" s="8"/>
      <c r="IN720" s="8"/>
      <c r="IO720" s="8"/>
      <c r="IP720" s="8"/>
      <c r="IQ720" s="8"/>
      <c r="IR720" s="8"/>
      <c r="IS720" s="8"/>
      <c r="IT720" s="8"/>
      <c r="IU720" s="8"/>
      <c r="IV720" s="8"/>
    </row>
    <row r="721" ht="12.75" customHeight="1">
      <c r="A721" s="8"/>
      <c r="HT721" s="8"/>
      <c r="HU721" s="8"/>
      <c r="HV721" s="8"/>
      <c r="HW721" s="8"/>
      <c r="HX721" s="8"/>
      <c r="HY721" s="8"/>
      <c r="HZ721" s="8"/>
      <c r="IA721" s="8"/>
      <c r="IB721" s="8"/>
      <c r="IC721" s="8"/>
      <c r="ID721" s="8"/>
      <c r="IE721" s="8"/>
      <c r="IF721" s="8"/>
      <c r="IG721" s="8"/>
      <c r="IH721" s="8"/>
      <c r="II721" s="8"/>
      <c r="IJ721" s="8"/>
      <c r="IK721" s="8"/>
      <c r="IL721" s="8"/>
      <c r="IM721" s="8"/>
      <c r="IN721" s="8"/>
      <c r="IO721" s="8"/>
      <c r="IP721" s="8"/>
      <c r="IQ721" s="8"/>
      <c r="IR721" s="8"/>
      <c r="IS721" s="8"/>
      <c r="IT721" s="8"/>
      <c r="IU721" s="8"/>
      <c r="IV721" s="8"/>
    </row>
    <row r="722" ht="12.75" customHeight="1">
      <c r="A722" s="8"/>
      <c r="HT722" s="8"/>
      <c r="HU722" s="8"/>
      <c r="HV722" s="8"/>
      <c r="HW722" s="8"/>
      <c r="HX722" s="8"/>
      <c r="HY722" s="8"/>
      <c r="HZ722" s="8"/>
      <c r="IA722" s="8"/>
      <c r="IB722" s="8"/>
      <c r="IC722" s="8"/>
      <c r="ID722" s="8"/>
      <c r="IE722" s="8"/>
      <c r="IF722" s="8"/>
      <c r="IG722" s="8"/>
      <c r="IH722" s="8"/>
      <c r="II722" s="8"/>
      <c r="IJ722" s="8"/>
      <c r="IK722" s="8"/>
      <c r="IL722" s="8"/>
      <c r="IM722" s="8"/>
      <c r="IN722" s="8"/>
      <c r="IO722" s="8"/>
      <c r="IP722" s="8"/>
      <c r="IQ722" s="8"/>
      <c r="IR722" s="8"/>
      <c r="IS722" s="8"/>
      <c r="IT722" s="8"/>
      <c r="IU722" s="8"/>
      <c r="IV722" s="8"/>
    </row>
    <row r="723" ht="12.75" customHeight="1">
      <c r="A723" s="8"/>
      <c r="HT723" s="8"/>
      <c r="HU723" s="8"/>
      <c r="HV723" s="8"/>
      <c r="HW723" s="8"/>
      <c r="HX723" s="8"/>
      <c r="HY723" s="8"/>
      <c r="HZ723" s="8"/>
      <c r="IA723" s="8"/>
      <c r="IB723" s="8"/>
      <c r="IC723" s="8"/>
      <c r="ID723" s="8"/>
      <c r="IE723" s="8"/>
      <c r="IF723" s="8"/>
      <c r="IG723" s="8"/>
      <c r="IH723" s="8"/>
      <c r="II723" s="8"/>
      <c r="IJ723" s="8"/>
      <c r="IK723" s="8"/>
      <c r="IL723" s="8"/>
      <c r="IM723" s="8"/>
      <c r="IN723" s="8"/>
      <c r="IO723" s="8"/>
      <c r="IP723" s="8"/>
      <c r="IQ723" s="8"/>
      <c r="IR723" s="8"/>
      <c r="IS723" s="8"/>
      <c r="IT723" s="8"/>
      <c r="IU723" s="8"/>
      <c r="IV723" s="8"/>
    </row>
    <row r="724" ht="12.75" customHeight="1">
      <c r="A724" s="8"/>
      <c r="HT724" s="8"/>
      <c r="HU724" s="8"/>
      <c r="HV724" s="8"/>
      <c r="HW724" s="8"/>
      <c r="HX724" s="8"/>
      <c r="HY724" s="8"/>
      <c r="HZ724" s="8"/>
      <c r="IA724" s="8"/>
      <c r="IB724" s="8"/>
      <c r="IC724" s="8"/>
      <c r="ID724" s="8"/>
      <c r="IE724" s="8"/>
      <c r="IF724" s="8"/>
      <c r="IG724" s="8"/>
      <c r="IH724" s="8"/>
      <c r="II724" s="8"/>
      <c r="IJ724" s="8"/>
      <c r="IK724" s="8"/>
      <c r="IL724" s="8"/>
      <c r="IM724" s="8"/>
      <c r="IN724" s="8"/>
      <c r="IO724" s="8"/>
      <c r="IP724" s="8"/>
      <c r="IQ724" s="8"/>
      <c r="IR724" s="8"/>
      <c r="IS724" s="8"/>
      <c r="IT724" s="8"/>
      <c r="IU724" s="8"/>
      <c r="IV724" s="8"/>
    </row>
    <row r="725" ht="12.75" customHeight="1">
      <c r="A725" s="8"/>
      <c r="HT725" s="8"/>
      <c r="HU725" s="8"/>
      <c r="HV725" s="8"/>
      <c r="HW725" s="8"/>
      <c r="HX725" s="8"/>
      <c r="HY725" s="8"/>
      <c r="HZ725" s="8"/>
      <c r="IA725" s="8"/>
      <c r="IB725" s="8"/>
      <c r="IC725" s="8"/>
      <c r="ID725" s="8"/>
      <c r="IE725" s="8"/>
      <c r="IF725" s="8"/>
      <c r="IG725" s="8"/>
      <c r="IH725" s="8"/>
      <c r="II725" s="8"/>
      <c r="IJ725" s="8"/>
      <c r="IK725" s="8"/>
      <c r="IL725" s="8"/>
      <c r="IM725" s="8"/>
      <c r="IN725" s="8"/>
      <c r="IO725" s="8"/>
      <c r="IP725" s="8"/>
      <c r="IQ725" s="8"/>
      <c r="IR725" s="8"/>
      <c r="IS725" s="8"/>
      <c r="IT725" s="8"/>
      <c r="IU725" s="8"/>
      <c r="IV725" s="8"/>
    </row>
    <row r="726" ht="12.75" customHeight="1">
      <c r="A726" s="8"/>
      <c r="HT726" s="8"/>
      <c r="HU726" s="8"/>
      <c r="HV726" s="8"/>
      <c r="HW726" s="8"/>
      <c r="HX726" s="8"/>
      <c r="HY726" s="8"/>
      <c r="HZ726" s="8"/>
      <c r="IA726" s="8"/>
      <c r="IB726" s="8"/>
      <c r="IC726" s="8"/>
      <c r="ID726" s="8"/>
      <c r="IE726" s="8"/>
      <c r="IF726" s="8"/>
      <c r="IG726" s="8"/>
      <c r="IH726" s="8"/>
      <c r="II726" s="8"/>
      <c r="IJ726" s="8"/>
      <c r="IK726" s="8"/>
      <c r="IL726" s="8"/>
      <c r="IM726" s="8"/>
      <c r="IN726" s="8"/>
      <c r="IO726" s="8"/>
      <c r="IP726" s="8"/>
      <c r="IQ726" s="8"/>
      <c r="IR726" s="8"/>
      <c r="IS726" s="8"/>
      <c r="IT726" s="8"/>
      <c r="IU726" s="8"/>
      <c r="IV726" s="8"/>
    </row>
    <row r="727" ht="12.75" customHeight="1">
      <c r="A727" s="8"/>
      <c r="HT727" s="8"/>
      <c r="HU727" s="8"/>
      <c r="HV727" s="8"/>
      <c r="HW727" s="8"/>
      <c r="HX727" s="8"/>
      <c r="HY727" s="8"/>
      <c r="HZ727" s="8"/>
      <c r="IA727" s="8"/>
      <c r="IB727" s="8"/>
      <c r="IC727" s="8"/>
      <c r="ID727" s="8"/>
      <c r="IE727" s="8"/>
      <c r="IF727" s="8"/>
      <c r="IG727" s="8"/>
      <c r="IH727" s="8"/>
      <c r="II727" s="8"/>
      <c r="IJ727" s="8"/>
      <c r="IK727" s="8"/>
      <c r="IL727" s="8"/>
      <c r="IM727" s="8"/>
      <c r="IN727" s="8"/>
      <c r="IO727" s="8"/>
      <c r="IP727" s="8"/>
      <c r="IQ727" s="8"/>
      <c r="IR727" s="8"/>
      <c r="IS727" s="8"/>
      <c r="IT727" s="8"/>
      <c r="IU727" s="8"/>
      <c r="IV727" s="8"/>
    </row>
    <row r="728" ht="12.75" customHeight="1">
      <c r="A728" s="8"/>
      <c r="HT728" s="8"/>
      <c r="HU728" s="8"/>
      <c r="HV728" s="8"/>
      <c r="HW728" s="8"/>
      <c r="HX728" s="8"/>
      <c r="HY728" s="8"/>
      <c r="HZ728" s="8"/>
      <c r="IA728" s="8"/>
      <c r="IB728" s="8"/>
      <c r="IC728" s="8"/>
      <c r="ID728" s="8"/>
      <c r="IE728" s="8"/>
      <c r="IF728" s="8"/>
      <c r="IG728" s="8"/>
      <c r="IH728" s="8"/>
      <c r="II728" s="8"/>
      <c r="IJ728" s="8"/>
      <c r="IK728" s="8"/>
      <c r="IL728" s="8"/>
      <c r="IM728" s="8"/>
      <c r="IN728" s="8"/>
      <c r="IO728" s="8"/>
      <c r="IP728" s="8"/>
      <c r="IQ728" s="8"/>
      <c r="IR728" s="8"/>
      <c r="IS728" s="8"/>
      <c r="IT728" s="8"/>
      <c r="IU728" s="8"/>
      <c r="IV728" s="8"/>
    </row>
    <row r="729" ht="12.75" customHeight="1">
      <c r="A729" s="8"/>
      <c r="HT729" s="8"/>
      <c r="HU729" s="8"/>
      <c r="HV729" s="8"/>
      <c r="HW729" s="8"/>
      <c r="HX729" s="8"/>
      <c r="HY729" s="8"/>
      <c r="HZ729" s="8"/>
      <c r="IA729" s="8"/>
      <c r="IB729" s="8"/>
      <c r="IC729" s="8"/>
      <c r="ID729" s="8"/>
      <c r="IE729" s="8"/>
      <c r="IF729" s="8"/>
      <c r="IG729" s="8"/>
      <c r="IH729" s="8"/>
      <c r="II729" s="8"/>
      <c r="IJ729" s="8"/>
      <c r="IK729" s="8"/>
      <c r="IL729" s="8"/>
      <c r="IM729" s="8"/>
      <c r="IN729" s="8"/>
      <c r="IO729" s="8"/>
      <c r="IP729" s="8"/>
      <c r="IQ729" s="8"/>
      <c r="IR729" s="8"/>
      <c r="IS729" s="8"/>
      <c r="IT729" s="8"/>
      <c r="IU729" s="8"/>
      <c r="IV729" s="8"/>
    </row>
    <row r="730" ht="12.75" customHeight="1">
      <c r="A730" s="8"/>
      <c r="HT730" s="8"/>
      <c r="HU730" s="8"/>
      <c r="HV730" s="8"/>
      <c r="HW730" s="8"/>
      <c r="HX730" s="8"/>
      <c r="HY730" s="8"/>
      <c r="HZ730" s="8"/>
      <c r="IA730" s="8"/>
      <c r="IB730" s="8"/>
      <c r="IC730" s="8"/>
      <c r="ID730" s="8"/>
      <c r="IE730" s="8"/>
      <c r="IF730" s="8"/>
      <c r="IG730" s="8"/>
      <c r="IH730" s="8"/>
      <c r="II730" s="8"/>
      <c r="IJ730" s="8"/>
      <c r="IK730" s="8"/>
      <c r="IL730" s="8"/>
      <c r="IM730" s="8"/>
      <c r="IN730" s="8"/>
      <c r="IO730" s="8"/>
      <c r="IP730" s="8"/>
      <c r="IQ730" s="8"/>
      <c r="IR730" s="8"/>
      <c r="IS730" s="8"/>
      <c r="IT730" s="8"/>
      <c r="IU730" s="8"/>
      <c r="IV730" s="8"/>
    </row>
    <row r="731" ht="12.75" customHeight="1">
      <c r="A731" s="8"/>
      <c r="HT731" s="8"/>
      <c r="HU731" s="8"/>
      <c r="HV731" s="8"/>
      <c r="HW731" s="8"/>
      <c r="HX731" s="8"/>
      <c r="HY731" s="8"/>
      <c r="HZ731" s="8"/>
      <c r="IA731" s="8"/>
      <c r="IB731" s="8"/>
      <c r="IC731" s="8"/>
      <c r="ID731" s="8"/>
      <c r="IE731" s="8"/>
      <c r="IF731" s="8"/>
      <c r="IG731" s="8"/>
      <c r="IH731" s="8"/>
      <c r="II731" s="8"/>
      <c r="IJ731" s="8"/>
      <c r="IK731" s="8"/>
      <c r="IL731" s="8"/>
      <c r="IM731" s="8"/>
      <c r="IN731" s="8"/>
      <c r="IO731" s="8"/>
      <c r="IP731" s="8"/>
      <c r="IQ731" s="8"/>
      <c r="IR731" s="8"/>
      <c r="IS731" s="8"/>
      <c r="IT731" s="8"/>
      <c r="IU731" s="8"/>
      <c r="IV731" s="8"/>
    </row>
    <row r="732" ht="12.75" customHeight="1">
      <c r="A732" s="8"/>
      <c r="HT732" s="8"/>
      <c r="HU732" s="8"/>
      <c r="HV732" s="8"/>
      <c r="HW732" s="8"/>
      <c r="HX732" s="8"/>
      <c r="HY732" s="8"/>
      <c r="HZ732" s="8"/>
      <c r="IA732" s="8"/>
      <c r="IB732" s="8"/>
      <c r="IC732" s="8"/>
      <c r="ID732" s="8"/>
      <c r="IE732" s="8"/>
      <c r="IF732" s="8"/>
      <c r="IG732" s="8"/>
      <c r="IH732" s="8"/>
      <c r="II732" s="8"/>
      <c r="IJ732" s="8"/>
      <c r="IK732" s="8"/>
      <c r="IL732" s="8"/>
      <c r="IM732" s="8"/>
      <c r="IN732" s="8"/>
      <c r="IO732" s="8"/>
      <c r="IP732" s="8"/>
      <c r="IQ732" s="8"/>
      <c r="IR732" s="8"/>
      <c r="IS732" s="8"/>
      <c r="IT732" s="8"/>
      <c r="IU732" s="8"/>
      <c r="IV732" s="8"/>
    </row>
    <row r="733" ht="12.75" customHeight="1">
      <c r="A733" s="8"/>
      <c r="HT733" s="8"/>
      <c r="HU733" s="8"/>
      <c r="HV733" s="8"/>
      <c r="HW733" s="8"/>
      <c r="HX733" s="8"/>
      <c r="HY733" s="8"/>
      <c r="HZ733" s="8"/>
      <c r="IA733" s="8"/>
      <c r="IB733" s="8"/>
      <c r="IC733" s="8"/>
      <c r="ID733" s="8"/>
      <c r="IE733" s="8"/>
      <c r="IF733" s="8"/>
      <c r="IG733" s="8"/>
      <c r="IH733" s="8"/>
      <c r="II733" s="8"/>
      <c r="IJ733" s="8"/>
      <c r="IK733" s="8"/>
      <c r="IL733" s="8"/>
      <c r="IM733" s="8"/>
      <c r="IN733" s="8"/>
      <c r="IO733" s="8"/>
      <c r="IP733" s="8"/>
      <c r="IQ733" s="8"/>
      <c r="IR733" s="8"/>
      <c r="IS733" s="8"/>
      <c r="IT733" s="8"/>
      <c r="IU733" s="8"/>
      <c r="IV733" s="8"/>
    </row>
    <row r="734" ht="12.75" customHeight="1">
      <c r="A734" s="8"/>
      <c r="HT734" s="8"/>
      <c r="HU734" s="8"/>
      <c r="HV734" s="8"/>
      <c r="HW734" s="8"/>
      <c r="HX734" s="8"/>
      <c r="HY734" s="8"/>
      <c r="HZ734" s="8"/>
      <c r="IA734" s="8"/>
      <c r="IB734" s="8"/>
      <c r="IC734" s="8"/>
      <c r="ID734" s="8"/>
      <c r="IE734" s="8"/>
      <c r="IF734" s="8"/>
      <c r="IG734" s="8"/>
      <c r="IH734" s="8"/>
      <c r="II734" s="8"/>
      <c r="IJ734" s="8"/>
      <c r="IK734" s="8"/>
      <c r="IL734" s="8"/>
      <c r="IM734" s="8"/>
      <c r="IN734" s="8"/>
      <c r="IO734" s="8"/>
      <c r="IP734" s="8"/>
      <c r="IQ734" s="8"/>
      <c r="IR734" s="8"/>
      <c r="IS734" s="8"/>
      <c r="IT734" s="8"/>
      <c r="IU734" s="8"/>
      <c r="IV734" s="8"/>
    </row>
    <row r="735" ht="12.75" customHeight="1">
      <c r="A735" s="8"/>
      <c r="HT735" s="8"/>
      <c r="HU735" s="8"/>
      <c r="HV735" s="8"/>
      <c r="HW735" s="8"/>
      <c r="HX735" s="8"/>
      <c r="HY735" s="8"/>
      <c r="HZ735" s="8"/>
      <c r="IA735" s="8"/>
      <c r="IB735" s="8"/>
      <c r="IC735" s="8"/>
      <c r="ID735" s="8"/>
      <c r="IE735" s="8"/>
      <c r="IF735" s="8"/>
      <c r="IG735" s="8"/>
      <c r="IH735" s="8"/>
      <c r="II735" s="8"/>
      <c r="IJ735" s="8"/>
      <c r="IK735" s="8"/>
      <c r="IL735" s="8"/>
      <c r="IM735" s="8"/>
      <c r="IN735" s="8"/>
      <c r="IO735" s="8"/>
      <c r="IP735" s="8"/>
      <c r="IQ735" s="8"/>
      <c r="IR735" s="8"/>
      <c r="IS735" s="8"/>
      <c r="IT735" s="8"/>
      <c r="IU735" s="8"/>
      <c r="IV735" s="8"/>
    </row>
    <row r="736" ht="12.75" customHeight="1">
      <c r="A736" s="8"/>
      <c r="HT736" s="8"/>
      <c r="HU736" s="8"/>
      <c r="HV736" s="8"/>
      <c r="HW736" s="8"/>
      <c r="HX736" s="8"/>
      <c r="HY736" s="8"/>
      <c r="HZ736" s="8"/>
      <c r="IA736" s="8"/>
      <c r="IB736" s="8"/>
      <c r="IC736" s="8"/>
      <c r="ID736" s="8"/>
      <c r="IE736" s="8"/>
      <c r="IF736" s="8"/>
      <c r="IG736" s="8"/>
      <c r="IH736" s="8"/>
      <c r="II736" s="8"/>
      <c r="IJ736" s="8"/>
      <c r="IK736" s="8"/>
      <c r="IL736" s="8"/>
      <c r="IM736" s="8"/>
      <c r="IN736" s="8"/>
      <c r="IO736" s="8"/>
      <c r="IP736" s="8"/>
      <c r="IQ736" s="8"/>
      <c r="IR736" s="8"/>
      <c r="IS736" s="8"/>
      <c r="IT736" s="8"/>
      <c r="IU736" s="8"/>
      <c r="IV736" s="8"/>
    </row>
    <row r="737" ht="12.75" customHeight="1">
      <c r="A737" s="8"/>
      <c r="HT737" s="8"/>
      <c r="HU737" s="8"/>
      <c r="HV737" s="8"/>
      <c r="HW737" s="8"/>
      <c r="HX737" s="8"/>
      <c r="HY737" s="8"/>
      <c r="HZ737" s="8"/>
      <c r="IA737" s="8"/>
      <c r="IB737" s="8"/>
      <c r="IC737" s="8"/>
      <c r="ID737" s="8"/>
      <c r="IE737" s="8"/>
      <c r="IF737" s="8"/>
      <c r="IG737" s="8"/>
      <c r="IH737" s="8"/>
      <c r="II737" s="8"/>
      <c r="IJ737" s="8"/>
      <c r="IK737" s="8"/>
      <c r="IL737" s="8"/>
      <c r="IM737" s="8"/>
      <c r="IN737" s="8"/>
      <c r="IO737" s="8"/>
      <c r="IP737" s="8"/>
      <c r="IQ737" s="8"/>
      <c r="IR737" s="8"/>
      <c r="IS737" s="8"/>
      <c r="IT737" s="8"/>
      <c r="IU737" s="8"/>
      <c r="IV737" s="8"/>
    </row>
    <row r="738" ht="12.75" customHeight="1">
      <c r="A738" s="8"/>
      <c r="HT738" s="8"/>
      <c r="HU738" s="8"/>
      <c r="HV738" s="8"/>
      <c r="HW738" s="8"/>
      <c r="HX738" s="8"/>
      <c r="HY738" s="8"/>
      <c r="HZ738" s="8"/>
      <c r="IA738" s="8"/>
      <c r="IB738" s="8"/>
      <c r="IC738" s="8"/>
      <c r="ID738" s="8"/>
      <c r="IE738" s="8"/>
      <c r="IF738" s="8"/>
      <c r="IG738" s="8"/>
      <c r="IH738" s="8"/>
      <c r="II738" s="8"/>
      <c r="IJ738" s="8"/>
      <c r="IK738" s="8"/>
      <c r="IL738" s="8"/>
      <c r="IM738" s="8"/>
      <c r="IN738" s="8"/>
      <c r="IO738" s="8"/>
      <c r="IP738" s="8"/>
      <c r="IQ738" s="8"/>
      <c r="IR738" s="8"/>
      <c r="IS738" s="8"/>
      <c r="IT738" s="8"/>
      <c r="IU738" s="8"/>
      <c r="IV738" s="8"/>
    </row>
    <row r="739" ht="12.75" customHeight="1">
      <c r="A739" s="8"/>
      <c r="HT739" s="8"/>
      <c r="HU739" s="8"/>
      <c r="HV739" s="8"/>
      <c r="HW739" s="8"/>
      <c r="HX739" s="8"/>
      <c r="HY739" s="8"/>
      <c r="HZ739" s="8"/>
      <c r="IA739" s="8"/>
      <c r="IB739" s="8"/>
      <c r="IC739" s="8"/>
      <c r="ID739" s="8"/>
      <c r="IE739" s="8"/>
      <c r="IF739" s="8"/>
      <c r="IG739" s="8"/>
      <c r="IH739" s="8"/>
      <c r="II739" s="8"/>
      <c r="IJ739" s="8"/>
      <c r="IK739" s="8"/>
      <c r="IL739" s="8"/>
      <c r="IM739" s="8"/>
      <c r="IN739" s="8"/>
      <c r="IO739" s="8"/>
      <c r="IP739" s="8"/>
      <c r="IQ739" s="8"/>
      <c r="IR739" s="8"/>
      <c r="IS739" s="8"/>
      <c r="IT739" s="8"/>
      <c r="IU739" s="8"/>
      <c r="IV739" s="8"/>
    </row>
    <row r="740" ht="12.75" customHeight="1">
      <c r="A740" s="8"/>
      <c r="HT740" s="8"/>
      <c r="HU740" s="8"/>
      <c r="HV740" s="8"/>
      <c r="HW740" s="8"/>
      <c r="HX740" s="8"/>
      <c r="HY740" s="8"/>
      <c r="HZ740" s="8"/>
      <c r="IA740" s="8"/>
      <c r="IB740" s="8"/>
      <c r="IC740" s="8"/>
      <c r="ID740" s="8"/>
      <c r="IE740" s="8"/>
      <c r="IF740" s="8"/>
      <c r="IG740" s="8"/>
      <c r="IH740" s="8"/>
      <c r="II740" s="8"/>
      <c r="IJ740" s="8"/>
      <c r="IK740" s="8"/>
      <c r="IL740" s="8"/>
      <c r="IM740" s="8"/>
      <c r="IN740" s="8"/>
      <c r="IO740" s="8"/>
      <c r="IP740" s="8"/>
      <c r="IQ740" s="8"/>
      <c r="IR740" s="8"/>
      <c r="IS740" s="8"/>
      <c r="IT740" s="8"/>
      <c r="IU740" s="8"/>
      <c r="IV740" s="8"/>
    </row>
    <row r="741" ht="12.75" customHeight="1">
      <c r="A741" s="8"/>
      <c r="HT741" s="8"/>
      <c r="HU741" s="8"/>
      <c r="HV741" s="8"/>
      <c r="HW741" s="8"/>
      <c r="HX741" s="8"/>
      <c r="HY741" s="8"/>
      <c r="HZ741" s="8"/>
      <c r="IA741" s="8"/>
      <c r="IB741" s="8"/>
      <c r="IC741" s="8"/>
      <c r="ID741" s="8"/>
      <c r="IE741" s="8"/>
      <c r="IF741" s="8"/>
      <c r="IG741" s="8"/>
      <c r="IH741" s="8"/>
      <c r="II741" s="8"/>
      <c r="IJ741" s="8"/>
      <c r="IK741" s="8"/>
      <c r="IL741" s="8"/>
      <c r="IM741" s="8"/>
      <c r="IN741" s="8"/>
      <c r="IO741" s="8"/>
      <c r="IP741" s="8"/>
      <c r="IQ741" s="8"/>
      <c r="IR741" s="8"/>
      <c r="IS741" s="8"/>
      <c r="IT741" s="8"/>
      <c r="IU741" s="8"/>
      <c r="IV741" s="8"/>
    </row>
    <row r="742" ht="12.75" customHeight="1">
      <c r="A742" s="8"/>
      <c r="HT742" s="8"/>
      <c r="HU742" s="8"/>
      <c r="HV742" s="8"/>
      <c r="HW742" s="8"/>
      <c r="HX742" s="8"/>
      <c r="HY742" s="8"/>
      <c r="HZ742" s="8"/>
      <c r="IA742" s="8"/>
      <c r="IB742" s="8"/>
      <c r="IC742" s="8"/>
      <c r="ID742" s="8"/>
      <c r="IE742" s="8"/>
      <c r="IF742" s="8"/>
      <c r="IG742" s="8"/>
      <c r="IH742" s="8"/>
      <c r="II742" s="8"/>
      <c r="IJ742" s="8"/>
      <c r="IK742" s="8"/>
      <c r="IL742" s="8"/>
      <c r="IM742" s="8"/>
      <c r="IN742" s="8"/>
      <c r="IO742" s="8"/>
      <c r="IP742" s="8"/>
      <c r="IQ742" s="8"/>
      <c r="IR742" s="8"/>
      <c r="IS742" s="8"/>
      <c r="IT742" s="8"/>
      <c r="IU742" s="8"/>
      <c r="IV742" s="8"/>
    </row>
    <row r="743" ht="12.75" customHeight="1">
      <c r="A743" s="8"/>
      <c r="HT743" s="8"/>
      <c r="HU743" s="8"/>
      <c r="HV743" s="8"/>
      <c r="HW743" s="8"/>
      <c r="HX743" s="8"/>
      <c r="HY743" s="8"/>
      <c r="HZ743" s="8"/>
      <c r="IA743" s="8"/>
      <c r="IB743" s="8"/>
      <c r="IC743" s="8"/>
      <c r="ID743" s="8"/>
      <c r="IE743" s="8"/>
      <c r="IF743" s="8"/>
      <c r="IG743" s="8"/>
      <c r="IH743" s="8"/>
      <c r="II743" s="8"/>
      <c r="IJ743" s="8"/>
      <c r="IK743" s="8"/>
      <c r="IL743" s="8"/>
      <c r="IM743" s="8"/>
      <c r="IN743" s="8"/>
      <c r="IO743" s="8"/>
      <c r="IP743" s="8"/>
      <c r="IQ743" s="8"/>
      <c r="IR743" s="8"/>
      <c r="IS743" s="8"/>
      <c r="IT743" s="8"/>
      <c r="IU743" s="8"/>
      <c r="IV743" s="8"/>
    </row>
    <row r="744" ht="12.75" customHeight="1">
      <c r="A744" s="8"/>
      <c r="HT744" s="8"/>
      <c r="HU744" s="8"/>
      <c r="HV744" s="8"/>
      <c r="HW744" s="8"/>
      <c r="HX744" s="8"/>
      <c r="HY744" s="8"/>
      <c r="HZ744" s="8"/>
      <c r="IA744" s="8"/>
      <c r="IB744" s="8"/>
      <c r="IC744" s="8"/>
      <c r="ID744" s="8"/>
      <c r="IE744" s="8"/>
      <c r="IF744" s="8"/>
      <c r="IG744" s="8"/>
      <c r="IH744" s="8"/>
      <c r="II744" s="8"/>
      <c r="IJ744" s="8"/>
      <c r="IK744" s="8"/>
      <c r="IL744" s="8"/>
      <c r="IM744" s="8"/>
      <c r="IN744" s="8"/>
      <c r="IO744" s="8"/>
      <c r="IP744" s="8"/>
      <c r="IQ744" s="8"/>
      <c r="IR744" s="8"/>
      <c r="IS744" s="8"/>
      <c r="IT744" s="8"/>
      <c r="IU744" s="8"/>
      <c r="IV744" s="8"/>
    </row>
    <row r="745" ht="12.75" customHeight="1">
      <c r="A745" s="8"/>
      <c r="HT745" s="8"/>
      <c r="HU745" s="8"/>
      <c r="HV745" s="8"/>
      <c r="HW745" s="8"/>
      <c r="HX745" s="8"/>
      <c r="HY745" s="8"/>
      <c r="HZ745" s="8"/>
      <c r="IA745" s="8"/>
      <c r="IB745" s="8"/>
      <c r="IC745" s="8"/>
      <c r="ID745" s="8"/>
      <c r="IE745" s="8"/>
      <c r="IF745" s="8"/>
      <c r="IG745" s="8"/>
      <c r="IH745" s="8"/>
      <c r="II745" s="8"/>
      <c r="IJ745" s="8"/>
      <c r="IK745" s="8"/>
      <c r="IL745" s="8"/>
      <c r="IM745" s="8"/>
      <c r="IN745" s="8"/>
      <c r="IO745" s="8"/>
      <c r="IP745" s="8"/>
      <c r="IQ745" s="8"/>
      <c r="IR745" s="8"/>
      <c r="IS745" s="8"/>
      <c r="IT745" s="8"/>
      <c r="IU745" s="8"/>
      <c r="IV745" s="8"/>
    </row>
    <row r="746" ht="12.75" customHeight="1">
      <c r="A746" s="8"/>
      <c r="HT746" s="8"/>
      <c r="HU746" s="8"/>
      <c r="HV746" s="8"/>
      <c r="HW746" s="8"/>
      <c r="HX746" s="8"/>
      <c r="HY746" s="8"/>
      <c r="HZ746" s="8"/>
      <c r="IA746" s="8"/>
      <c r="IB746" s="8"/>
      <c r="IC746" s="8"/>
      <c r="ID746" s="8"/>
      <c r="IE746" s="8"/>
      <c r="IF746" s="8"/>
      <c r="IG746" s="8"/>
      <c r="IH746" s="8"/>
      <c r="II746" s="8"/>
      <c r="IJ746" s="8"/>
      <c r="IK746" s="8"/>
      <c r="IL746" s="8"/>
      <c r="IM746" s="8"/>
      <c r="IN746" s="8"/>
      <c r="IO746" s="8"/>
      <c r="IP746" s="8"/>
      <c r="IQ746" s="8"/>
      <c r="IR746" s="8"/>
      <c r="IS746" s="8"/>
      <c r="IT746" s="8"/>
      <c r="IU746" s="8"/>
      <c r="IV746" s="8"/>
    </row>
    <row r="747" ht="12.75" customHeight="1">
      <c r="A747" s="8"/>
      <c r="HT747" s="8"/>
      <c r="HU747" s="8"/>
      <c r="HV747" s="8"/>
      <c r="HW747" s="8"/>
      <c r="HX747" s="8"/>
      <c r="HY747" s="8"/>
      <c r="HZ747" s="8"/>
      <c r="IA747" s="8"/>
      <c r="IB747" s="8"/>
      <c r="IC747" s="8"/>
      <c r="ID747" s="8"/>
      <c r="IE747" s="8"/>
      <c r="IF747" s="8"/>
      <c r="IG747" s="8"/>
      <c r="IH747" s="8"/>
      <c r="II747" s="8"/>
      <c r="IJ747" s="8"/>
      <c r="IK747" s="8"/>
      <c r="IL747" s="8"/>
      <c r="IM747" s="8"/>
      <c r="IN747" s="8"/>
      <c r="IO747" s="8"/>
      <c r="IP747" s="8"/>
      <c r="IQ747" s="8"/>
      <c r="IR747" s="8"/>
      <c r="IS747" s="8"/>
      <c r="IT747" s="8"/>
      <c r="IU747" s="8"/>
      <c r="IV747" s="8"/>
    </row>
    <row r="748" ht="12.75" customHeight="1">
      <c r="A748" s="8"/>
      <c r="HT748" s="8"/>
      <c r="HU748" s="8"/>
      <c r="HV748" s="8"/>
      <c r="HW748" s="8"/>
      <c r="HX748" s="8"/>
      <c r="HY748" s="8"/>
      <c r="HZ748" s="8"/>
      <c r="IA748" s="8"/>
      <c r="IB748" s="8"/>
      <c r="IC748" s="8"/>
      <c r="ID748" s="8"/>
      <c r="IE748" s="8"/>
      <c r="IF748" s="8"/>
      <c r="IG748" s="8"/>
      <c r="IH748" s="8"/>
      <c r="II748" s="8"/>
      <c r="IJ748" s="8"/>
      <c r="IK748" s="8"/>
      <c r="IL748" s="8"/>
      <c r="IM748" s="8"/>
      <c r="IN748" s="8"/>
      <c r="IO748" s="8"/>
      <c r="IP748" s="8"/>
      <c r="IQ748" s="8"/>
      <c r="IR748" s="8"/>
      <c r="IS748" s="8"/>
      <c r="IT748" s="8"/>
      <c r="IU748" s="8"/>
      <c r="IV748" s="8"/>
    </row>
    <row r="749" ht="12.75" customHeight="1">
      <c r="A749" s="8"/>
      <c r="HT749" s="8"/>
      <c r="HU749" s="8"/>
      <c r="HV749" s="8"/>
      <c r="HW749" s="8"/>
      <c r="HX749" s="8"/>
      <c r="HY749" s="8"/>
      <c r="HZ749" s="8"/>
      <c r="IA749" s="8"/>
      <c r="IB749" s="8"/>
      <c r="IC749" s="8"/>
      <c r="ID749" s="8"/>
      <c r="IE749" s="8"/>
      <c r="IF749" s="8"/>
      <c r="IG749" s="8"/>
      <c r="IH749" s="8"/>
      <c r="II749" s="8"/>
      <c r="IJ749" s="8"/>
      <c r="IK749" s="8"/>
      <c r="IL749" s="8"/>
      <c r="IM749" s="8"/>
      <c r="IN749" s="8"/>
      <c r="IO749" s="8"/>
      <c r="IP749" s="8"/>
      <c r="IQ749" s="8"/>
      <c r="IR749" s="8"/>
      <c r="IS749" s="8"/>
      <c r="IT749" s="8"/>
      <c r="IU749" s="8"/>
      <c r="IV749" s="8"/>
    </row>
    <row r="750" ht="12.75" customHeight="1">
      <c r="A750" s="8"/>
      <c r="HT750" s="8"/>
      <c r="HU750" s="8"/>
      <c r="HV750" s="8"/>
      <c r="HW750" s="8"/>
      <c r="HX750" s="8"/>
      <c r="HY750" s="8"/>
      <c r="HZ750" s="8"/>
      <c r="IA750" s="8"/>
      <c r="IB750" s="8"/>
      <c r="IC750" s="8"/>
      <c r="ID750" s="8"/>
      <c r="IE750" s="8"/>
      <c r="IF750" s="8"/>
      <c r="IG750" s="8"/>
      <c r="IH750" s="8"/>
      <c r="II750" s="8"/>
      <c r="IJ750" s="8"/>
      <c r="IK750" s="8"/>
      <c r="IL750" s="8"/>
      <c r="IM750" s="8"/>
      <c r="IN750" s="8"/>
      <c r="IO750" s="8"/>
      <c r="IP750" s="8"/>
      <c r="IQ750" s="8"/>
      <c r="IR750" s="8"/>
      <c r="IS750" s="8"/>
      <c r="IT750" s="8"/>
      <c r="IU750" s="8"/>
      <c r="IV750" s="8"/>
    </row>
    <row r="751" ht="12.75" customHeight="1">
      <c r="A751" s="8"/>
      <c r="HT751" s="8"/>
      <c r="HU751" s="8"/>
      <c r="HV751" s="8"/>
      <c r="HW751" s="8"/>
      <c r="HX751" s="8"/>
      <c r="HY751" s="8"/>
      <c r="HZ751" s="8"/>
      <c r="IA751" s="8"/>
      <c r="IB751" s="8"/>
      <c r="IC751" s="8"/>
      <c r="ID751" s="8"/>
      <c r="IE751" s="8"/>
      <c r="IF751" s="8"/>
      <c r="IG751" s="8"/>
      <c r="IH751" s="8"/>
      <c r="II751" s="8"/>
      <c r="IJ751" s="8"/>
      <c r="IK751" s="8"/>
      <c r="IL751" s="8"/>
      <c r="IM751" s="8"/>
      <c r="IN751" s="8"/>
      <c r="IO751" s="8"/>
      <c r="IP751" s="8"/>
      <c r="IQ751" s="8"/>
      <c r="IR751" s="8"/>
      <c r="IS751" s="8"/>
      <c r="IT751" s="8"/>
      <c r="IU751" s="8"/>
      <c r="IV751" s="8"/>
    </row>
    <row r="752" ht="12.75" customHeight="1">
      <c r="A752" s="8"/>
      <c r="HT752" s="8"/>
      <c r="HU752" s="8"/>
      <c r="HV752" s="8"/>
      <c r="HW752" s="8"/>
      <c r="HX752" s="8"/>
      <c r="HY752" s="8"/>
      <c r="HZ752" s="8"/>
      <c r="IA752" s="8"/>
      <c r="IB752" s="8"/>
      <c r="IC752" s="8"/>
      <c r="ID752" s="8"/>
      <c r="IE752" s="8"/>
      <c r="IF752" s="8"/>
      <c r="IG752" s="8"/>
      <c r="IH752" s="8"/>
      <c r="II752" s="8"/>
      <c r="IJ752" s="8"/>
      <c r="IK752" s="8"/>
      <c r="IL752" s="8"/>
      <c r="IM752" s="8"/>
      <c r="IN752" s="8"/>
      <c r="IO752" s="8"/>
      <c r="IP752" s="8"/>
      <c r="IQ752" s="8"/>
      <c r="IR752" s="8"/>
      <c r="IS752" s="8"/>
      <c r="IT752" s="8"/>
      <c r="IU752" s="8"/>
      <c r="IV752" s="8"/>
    </row>
    <row r="753" ht="12.75" customHeight="1">
      <c r="A753" s="8"/>
      <c r="HT753" s="8"/>
      <c r="HU753" s="8"/>
      <c r="HV753" s="8"/>
      <c r="HW753" s="8"/>
      <c r="HX753" s="8"/>
      <c r="HY753" s="8"/>
      <c r="HZ753" s="8"/>
      <c r="IA753" s="8"/>
      <c r="IB753" s="8"/>
      <c r="IC753" s="8"/>
      <c r="ID753" s="8"/>
      <c r="IE753" s="8"/>
      <c r="IF753" s="8"/>
      <c r="IG753" s="8"/>
      <c r="IH753" s="8"/>
      <c r="II753" s="8"/>
      <c r="IJ753" s="8"/>
      <c r="IK753" s="8"/>
      <c r="IL753" s="8"/>
      <c r="IM753" s="8"/>
      <c r="IN753" s="8"/>
      <c r="IO753" s="8"/>
      <c r="IP753" s="8"/>
      <c r="IQ753" s="8"/>
      <c r="IR753" s="8"/>
      <c r="IS753" s="8"/>
      <c r="IT753" s="8"/>
      <c r="IU753" s="8"/>
      <c r="IV753" s="8"/>
    </row>
    <row r="754" ht="12.75" customHeight="1">
      <c r="A754" s="8"/>
      <c r="HT754" s="8"/>
      <c r="HU754" s="8"/>
      <c r="HV754" s="8"/>
      <c r="HW754" s="8"/>
      <c r="HX754" s="8"/>
      <c r="HY754" s="8"/>
      <c r="HZ754" s="8"/>
      <c r="IA754" s="8"/>
      <c r="IB754" s="8"/>
      <c r="IC754" s="8"/>
      <c r="ID754" s="8"/>
      <c r="IE754" s="8"/>
      <c r="IF754" s="8"/>
      <c r="IG754" s="8"/>
      <c r="IH754" s="8"/>
      <c r="II754" s="8"/>
      <c r="IJ754" s="8"/>
      <c r="IK754" s="8"/>
      <c r="IL754" s="8"/>
      <c r="IM754" s="8"/>
      <c r="IN754" s="8"/>
      <c r="IO754" s="8"/>
      <c r="IP754" s="8"/>
      <c r="IQ754" s="8"/>
      <c r="IR754" s="8"/>
      <c r="IS754" s="8"/>
      <c r="IT754" s="8"/>
      <c r="IU754" s="8"/>
      <c r="IV754" s="8"/>
    </row>
    <row r="755" ht="12.75" customHeight="1">
      <c r="A755" s="8"/>
      <c r="HT755" s="8"/>
      <c r="HU755" s="8"/>
      <c r="HV755" s="8"/>
      <c r="HW755" s="8"/>
      <c r="HX755" s="8"/>
      <c r="HY755" s="8"/>
      <c r="HZ755" s="8"/>
      <c r="IA755" s="8"/>
      <c r="IB755" s="8"/>
      <c r="IC755" s="8"/>
      <c r="ID755" s="8"/>
      <c r="IE755" s="8"/>
      <c r="IF755" s="8"/>
      <c r="IG755" s="8"/>
      <c r="IH755" s="8"/>
      <c r="II755" s="8"/>
      <c r="IJ755" s="8"/>
      <c r="IK755" s="8"/>
      <c r="IL755" s="8"/>
      <c r="IM755" s="8"/>
      <c r="IN755" s="8"/>
      <c r="IO755" s="8"/>
      <c r="IP755" s="8"/>
      <c r="IQ755" s="8"/>
      <c r="IR755" s="8"/>
      <c r="IS755" s="8"/>
      <c r="IT755" s="8"/>
      <c r="IU755" s="8"/>
      <c r="IV755" s="8"/>
    </row>
    <row r="756" ht="12.75" customHeight="1">
      <c r="A756" s="8"/>
      <c r="HT756" s="8"/>
      <c r="HU756" s="8"/>
      <c r="HV756" s="8"/>
      <c r="HW756" s="8"/>
      <c r="HX756" s="8"/>
      <c r="HY756" s="8"/>
      <c r="HZ756" s="8"/>
      <c r="IA756" s="8"/>
      <c r="IB756" s="8"/>
      <c r="IC756" s="8"/>
      <c r="ID756" s="8"/>
      <c r="IE756" s="8"/>
      <c r="IF756" s="8"/>
      <c r="IG756" s="8"/>
      <c r="IH756" s="8"/>
      <c r="II756" s="8"/>
      <c r="IJ756" s="8"/>
      <c r="IK756" s="8"/>
      <c r="IL756" s="8"/>
      <c r="IM756" s="8"/>
      <c r="IN756" s="8"/>
      <c r="IO756" s="8"/>
      <c r="IP756" s="8"/>
      <c r="IQ756" s="8"/>
      <c r="IR756" s="8"/>
      <c r="IS756" s="8"/>
      <c r="IT756" s="8"/>
      <c r="IU756" s="8"/>
      <c r="IV756" s="8"/>
    </row>
    <row r="757" ht="12.75" customHeight="1">
      <c r="A757" s="8"/>
      <c r="HT757" s="8"/>
      <c r="HU757" s="8"/>
      <c r="HV757" s="8"/>
      <c r="HW757" s="8"/>
      <c r="HX757" s="8"/>
      <c r="HY757" s="8"/>
      <c r="HZ757" s="8"/>
      <c r="IA757" s="8"/>
      <c r="IB757" s="8"/>
      <c r="IC757" s="8"/>
      <c r="ID757" s="8"/>
      <c r="IE757" s="8"/>
      <c r="IF757" s="8"/>
      <c r="IG757" s="8"/>
      <c r="IH757" s="8"/>
      <c r="II757" s="8"/>
      <c r="IJ757" s="8"/>
      <c r="IK757" s="8"/>
      <c r="IL757" s="8"/>
      <c r="IM757" s="8"/>
      <c r="IN757" s="8"/>
      <c r="IO757" s="8"/>
      <c r="IP757" s="8"/>
      <c r="IQ757" s="8"/>
      <c r="IR757" s="8"/>
      <c r="IS757" s="8"/>
      <c r="IT757" s="8"/>
      <c r="IU757" s="8"/>
      <c r="IV757" s="8"/>
    </row>
    <row r="758" ht="12.75" customHeight="1">
      <c r="A758" s="8"/>
      <c r="HT758" s="8"/>
      <c r="HU758" s="8"/>
      <c r="HV758" s="8"/>
      <c r="HW758" s="8"/>
      <c r="HX758" s="8"/>
      <c r="HY758" s="8"/>
      <c r="HZ758" s="8"/>
      <c r="IA758" s="8"/>
      <c r="IB758" s="8"/>
      <c r="IC758" s="8"/>
      <c r="ID758" s="8"/>
      <c r="IE758" s="8"/>
      <c r="IF758" s="8"/>
      <c r="IG758" s="8"/>
      <c r="IH758" s="8"/>
      <c r="II758" s="8"/>
      <c r="IJ758" s="8"/>
      <c r="IK758" s="8"/>
      <c r="IL758" s="8"/>
      <c r="IM758" s="8"/>
      <c r="IN758" s="8"/>
      <c r="IO758" s="8"/>
      <c r="IP758" s="8"/>
      <c r="IQ758" s="8"/>
      <c r="IR758" s="8"/>
      <c r="IS758" s="8"/>
      <c r="IT758" s="8"/>
      <c r="IU758" s="8"/>
      <c r="IV758" s="8"/>
    </row>
    <row r="759" ht="12.75" customHeight="1">
      <c r="A759" s="8"/>
      <c r="HT759" s="8"/>
      <c r="HU759" s="8"/>
      <c r="HV759" s="8"/>
      <c r="HW759" s="8"/>
      <c r="HX759" s="8"/>
      <c r="HY759" s="8"/>
      <c r="HZ759" s="8"/>
      <c r="IA759" s="8"/>
      <c r="IB759" s="8"/>
      <c r="IC759" s="8"/>
      <c r="ID759" s="8"/>
      <c r="IE759" s="8"/>
      <c r="IF759" s="8"/>
      <c r="IG759" s="8"/>
      <c r="IH759" s="8"/>
      <c r="II759" s="8"/>
      <c r="IJ759" s="8"/>
      <c r="IK759" s="8"/>
      <c r="IL759" s="8"/>
      <c r="IM759" s="8"/>
      <c r="IN759" s="8"/>
      <c r="IO759" s="8"/>
      <c r="IP759" s="8"/>
      <c r="IQ759" s="8"/>
      <c r="IR759" s="8"/>
      <c r="IS759" s="8"/>
      <c r="IT759" s="8"/>
      <c r="IU759" s="8"/>
      <c r="IV759" s="8"/>
    </row>
    <row r="760" ht="12.75" customHeight="1">
      <c r="A760" s="8"/>
      <c r="HT760" s="8"/>
      <c r="HU760" s="8"/>
      <c r="HV760" s="8"/>
      <c r="HW760" s="8"/>
      <c r="HX760" s="8"/>
      <c r="HY760" s="8"/>
      <c r="HZ760" s="8"/>
      <c r="IA760" s="8"/>
      <c r="IB760" s="8"/>
      <c r="IC760" s="8"/>
      <c r="ID760" s="8"/>
      <c r="IE760" s="8"/>
      <c r="IF760" s="8"/>
      <c r="IG760" s="8"/>
      <c r="IH760" s="8"/>
      <c r="II760" s="8"/>
      <c r="IJ760" s="8"/>
      <c r="IK760" s="8"/>
      <c r="IL760" s="8"/>
      <c r="IM760" s="8"/>
      <c r="IN760" s="8"/>
      <c r="IO760" s="8"/>
      <c r="IP760" s="8"/>
      <c r="IQ760" s="8"/>
      <c r="IR760" s="8"/>
      <c r="IS760" s="8"/>
      <c r="IT760" s="8"/>
      <c r="IU760" s="8"/>
      <c r="IV760" s="8"/>
    </row>
    <row r="761" ht="12.75" customHeight="1">
      <c r="A761" s="8"/>
      <c r="HT761" s="8"/>
      <c r="HU761" s="8"/>
      <c r="HV761" s="8"/>
      <c r="HW761" s="8"/>
      <c r="HX761" s="8"/>
      <c r="HY761" s="8"/>
      <c r="HZ761" s="8"/>
      <c r="IA761" s="8"/>
      <c r="IB761" s="8"/>
      <c r="IC761" s="8"/>
      <c r="ID761" s="8"/>
      <c r="IE761" s="8"/>
      <c r="IF761" s="8"/>
      <c r="IG761" s="8"/>
      <c r="IH761" s="8"/>
      <c r="II761" s="8"/>
      <c r="IJ761" s="8"/>
      <c r="IK761" s="8"/>
      <c r="IL761" s="8"/>
      <c r="IM761" s="8"/>
      <c r="IN761" s="8"/>
      <c r="IO761" s="8"/>
      <c r="IP761" s="8"/>
      <c r="IQ761" s="8"/>
      <c r="IR761" s="8"/>
      <c r="IS761" s="8"/>
      <c r="IT761" s="8"/>
      <c r="IU761" s="8"/>
      <c r="IV761" s="8"/>
    </row>
    <row r="762" ht="12.75" customHeight="1">
      <c r="A762" s="8"/>
      <c r="HT762" s="8"/>
      <c r="HU762" s="8"/>
      <c r="HV762" s="8"/>
      <c r="HW762" s="8"/>
      <c r="HX762" s="8"/>
      <c r="HY762" s="8"/>
      <c r="HZ762" s="8"/>
      <c r="IA762" s="8"/>
      <c r="IB762" s="8"/>
      <c r="IC762" s="8"/>
      <c r="ID762" s="8"/>
      <c r="IE762" s="8"/>
      <c r="IF762" s="8"/>
      <c r="IG762" s="8"/>
      <c r="IH762" s="8"/>
      <c r="II762" s="8"/>
      <c r="IJ762" s="8"/>
      <c r="IK762" s="8"/>
      <c r="IL762" s="8"/>
      <c r="IM762" s="8"/>
      <c r="IN762" s="8"/>
      <c r="IO762" s="8"/>
      <c r="IP762" s="8"/>
      <c r="IQ762" s="8"/>
      <c r="IR762" s="8"/>
      <c r="IS762" s="8"/>
      <c r="IT762" s="8"/>
      <c r="IU762" s="8"/>
      <c r="IV762" s="8"/>
    </row>
    <row r="763" ht="12.75" customHeight="1">
      <c r="A763" s="8"/>
      <c r="HT763" s="8"/>
      <c r="HU763" s="8"/>
      <c r="HV763" s="8"/>
      <c r="HW763" s="8"/>
      <c r="HX763" s="8"/>
      <c r="HY763" s="8"/>
      <c r="HZ763" s="8"/>
      <c r="IA763" s="8"/>
      <c r="IB763" s="8"/>
      <c r="IC763" s="8"/>
      <c r="ID763" s="8"/>
      <c r="IE763" s="8"/>
      <c r="IF763" s="8"/>
      <c r="IG763" s="8"/>
      <c r="IH763" s="8"/>
      <c r="II763" s="8"/>
      <c r="IJ763" s="8"/>
      <c r="IK763" s="8"/>
      <c r="IL763" s="8"/>
      <c r="IM763" s="8"/>
      <c r="IN763" s="8"/>
      <c r="IO763" s="8"/>
      <c r="IP763" s="8"/>
      <c r="IQ763" s="8"/>
      <c r="IR763" s="8"/>
      <c r="IS763" s="8"/>
      <c r="IT763" s="8"/>
      <c r="IU763" s="8"/>
      <c r="IV763" s="8"/>
    </row>
    <row r="764" ht="12.75" customHeight="1">
      <c r="A764" s="8"/>
      <c r="HT764" s="8"/>
      <c r="HU764" s="8"/>
      <c r="HV764" s="8"/>
      <c r="HW764" s="8"/>
      <c r="HX764" s="8"/>
      <c r="HY764" s="8"/>
      <c r="HZ764" s="8"/>
      <c r="IA764" s="8"/>
      <c r="IB764" s="8"/>
      <c r="IC764" s="8"/>
      <c r="ID764" s="8"/>
      <c r="IE764" s="8"/>
      <c r="IF764" s="8"/>
      <c r="IG764" s="8"/>
      <c r="IH764" s="8"/>
      <c r="II764" s="8"/>
      <c r="IJ764" s="8"/>
      <c r="IK764" s="8"/>
      <c r="IL764" s="8"/>
      <c r="IM764" s="8"/>
      <c r="IN764" s="8"/>
      <c r="IO764" s="8"/>
      <c r="IP764" s="8"/>
      <c r="IQ764" s="8"/>
      <c r="IR764" s="8"/>
      <c r="IS764" s="8"/>
      <c r="IT764" s="8"/>
      <c r="IU764" s="8"/>
      <c r="IV764" s="8"/>
    </row>
    <row r="765" ht="12.75" customHeight="1">
      <c r="A765" s="8"/>
      <c r="HT765" s="8"/>
      <c r="HU765" s="8"/>
      <c r="HV765" s="8"/>
      <c r="HW765" s="8"/>
      <c r="HX765" s="8"/>
      <c r="HY765" s="8"/>
      <c r="HZ765" s="8"/>
      <c r="IA765" s="8"/>
      <c r="IB765" s="8"/>
      <c r="IC765" s="8"/>
      <c r="ID765" s="8"/>
      <c r="IE765" s="8"/>
      <c r="IF765" s="8"/>
      <c r="IG765" s="8"/>
      <c r="IH765" s="8"/>
      <c r="II765" s="8"/>
      <c r="IJ765" s="8"/>
      <c r="IK765" s="8"/>
      <c r="IL765" s="8"/>
      <c r="IM765" s="8"/>
      <c r="IN765" s="8"/>
      <c r="IO765" s="8"/>
      <c r="IP765" s="8"/>
      <c r="IQ765" s="8"/>
      <c r="IR765" s="8"/>
      <c r="IS765" s="8"/>
      <c r="IT765" s="8"/>
      <c r="IU765" s="8"/>
      <c r="IV765" s="8"/>
    </row>
    <row r="766" ht="12.75" customHeight="1">
      <c r="A766" s="8"/>
      <c r="HT766" s="8"/>
      <c r="HU766" s="8"/>
      <c r="HV766" s="8"/>
      <c r="HW766" s="8"/>
      <c r="HX766" s="8"/>
      <c r="HY766" s="8"/>
      <c r="HZ766" s="8"/>
      <c r="IA766" s="8"/>
      <c r="IB766" s="8"/>
      <c r="IC766" s="8"/>
      <c r="ID766" s="8"/>
      <c r="IE766" s="8"/>
      <c r="IF766" s="8"/>
      <c r="IG766" s="8"/>
      <c r="IH766" s="8"/>
      <c r="II766" s="8"/>
      <c r="IJ766" s="8"/>
      <c r="IK766" s="8"/>
      <c r="IL766" s="8"/>
      <c r="IM766" s="8"/>
      <c r="IN766" s="8"/>
      <c r="IO766" s="8"/>
      <c r="IP766" s="8"/>
      <c r="IQ766" s="8"/>
      <c r="IR766" s="8"/>
      <c r="IS766" s="8"/>
      <c r="IT766" s="8"/>
      <c r="IU766" s="8"/>
      <c r="IV766" s="8"/>
    </row>
    <row r="767" ht="12.75" customHeight="1">
      <c r="A767" s="8"/>
      <c r="HT767" s="8"/>
      <c r="HU767" s="8"/>
      <c r="HV767" s="8"/>
      <c r="HW767" s="8"/>
      <c r="HX767" s="8"/>
      <c r="HY767" s="8"/>
      <c r="HZ767" s="8"/>
      <c r="IA767" s="8"/>
      <c r="IB767" s="8"/>
      <c r="IC767" s="8"/>
      <c r="ID767" s="8"/>
      <c r="IE767" s="8"/>
      <c r="IF767" s="8"/>
      <c r="IG767" s="8"/>
      <c r="IH767" s="8"/>
      <c r="II767" s="8"/>
      <c r="IJ767" s="8"/>
      <c r="IK767" s="8"/>
      <c r="IL767" s="8"/>
      <c r="IM767" s="8"/>
      <c r="IN767" s="8"/>
      <c r="IO767" s="8"/>
      <c r="IP767" s="8"/>
      <c r="IQ767" s="8"/>
      <c r="IR767" s="8"/>
      <c r="IS767" s="8"/>
      <c r="IT767" s="8"/>
      <c r="IU767" s="8"/>
      <c r="IV767" s="8"/>
    </row>
    <row r="768" ht="12.75" customHeight="1">
      <c r="A768" s="8"/>
      <c r="HT768" s="8"/>
      <c r="HU768" s="8"/>
      <c r="HV768" s="8"/>
      <c r="HW768" s="8"/>
      <c r="HX768" s="8"/>
      <c r="HY768" s="8"/>
      <c r="HZ768" s="8"/>
      <c r="IA768" s="8"/>
      <c r="IB768" s="8"/>
      <c r="IC768" s="8"/>
      <c r="ID768" s="8"/>
      <c r="IE768" s="8"/>
      <c r="IF768" s="8"/>
      <c r="IG768" s="8"/>
      <c r="IH768" s="8"/>
      <c r="II768" s="8"/>
      <c r="IJ768" s="8"/>
      <c r="IK768" s="8"/>
      <c r="IL768" s="8"/>
      <c r="IM768" s="8"/>
      <c r="IN768" s="8"/>
      <c r="IO768" s="8"/>
      <c r="IP768" s="8"/>
      <c r="IQ768" s="8"/>
      <c r="IR768" s="8"/>
      <c r="IS768" s="8"/>
      <c r="IT768" s="8"/>
      <c r="IU768" s="8"/>
      <c r="IV768" s="8"/>
    </row>
    <row r="769" ht="12.75" customHeight="1">
      <c r="A769" s="8"/>
      <c r="HT769" s="8"/>
      <c r="HU769" s="8"/>
      <c r="HV769" s="8"/>
      <c r="HW769" s="8"/>
      <c r="HX769" s="8"/>
      <c r="HY769" s="8"/>
      <c r="HZ769" s="8"/>
      <c r="IA769" s="8"/>
      <c r="IB769" s="8"/>
      <c r="IC769" s="8"/>
      <c r="ID769" s="8"/>
      <c r="IE769" s="8"/>
      <c r="IF769" s="8"/>
      <c r="IG769" s="8"/>
      <c r="IH769" s="8"/>
      <c r="II769" s="8"/>
      <c r="IJ769" s="8"/>
      <c r="IK769" s="8"/>
      <c r="IL769" s="8"/>
      <c r="IM769" s="8"/>
      <c r="IN769" s="8"/>
      <c r="IO769" s="8"/>
      <c r="IP769" s="8"/>
      <c r="IQ769" s="8"/>
      <c r="IR769" s="8"/>
      <c r="IS769" s="8"/>
      <c r="IT769" s="8"/>
      <c r="IU769" s="8"/>
      <c r="IV769" s="8"/>
    </row>
    <row r="770" ht="12.75" customHeight="1">
      <c r="A770" s="8"/>
      <c r="HT770" s="8"/>
      <c r="HU770" s="8"/>
      <c r="HV770" s="8"/>
      <c r="HW770" s="8"/>
      <c r="HX770" s="8"/>
      <c r="HY770" s="8"/>
      <c r="HZ770" s="8"/>
      <c r="IA770" s="8"/>
      <c r="IB770" s="8"/>
      <c r="IC770" s="8"/>
      <c r="ID770" s="8"/>
      <c r="IE770" s="8"/>
      <c r="IF770" s="8"/>
      <c r="IG770" s="8"/>
      <c r="IH770" s="8"/>
      <c r="II770" s="8"/>
      <c r="IJ770" s="8"/>
      <c r="IK770" s="8"/>
      <c r="IL770" s="8"/>
      <c r="IM770" s="8"/>
      <c r="IN770" s="8"/>
      <c r="IO770" s="8"/>
      <c r="IP770" s="8"/>
      <c r="IQ770" s="8"/>
      <c r="IR770" s="8"/>
      <c r="IS770" s="8"/>
      <c r="IT770" s="8"/>
      <c r="IU770" s="8"/>
      <c r="IV770" s="8"/>
    </row>
    <row r="771" ht="12.75" customHeight="1">
      <c r="A771" s="8"/>
      <c r="HT771" s="8"/>
      <c r="HU771" s="8"/>
      <c r="HV771" s="8"/>
      <c r="HW771" s="8"/>
      <c r="HX771" s="8"/>
      <c r="HY771" s="8"/>
      <c r="HZ771" s="8"/>
      <c r="IA771" s="8"/>
      <c r="IB771" s="8"/>
      <c r="IC771" s="8"/>
      <c r="ID771" s="8"/>
      <c r="IE771" s="8"/>
      <c r="IF771" s="8"/>
      <c r="IG771" s="8"/>
      <c r="IH771" s="8"/>
      <c r="II771" s="8"/>
      <c r="IJ771" s="8"/>
      <c r="IK771" s="8"/>
      <c r="IL771" s="8"/>
      <c r="IM771" s="8"/>
      <c r="IN771" s="8"/>
      <c r="IO771" s="8"/>
      <c r="IP771" s="8"/>
      <c r="IQ771" s="8"/>
      <c r="IR771" s="8"/>
      <c r="IS771" s="8"/>
      <c r="IT771" s="8"/>
      <c r="IU771" s="8"/>
      <c r="IV771" s="8"/>
    </row>
    <row r="772" ht="12.75" customHeight="1">
      <c r="A772" s="8"/>
      <c r="HT772" s="8"/>
      <c r="HU772" s="8"/>
      <c r="HV772" s="8"/>
      <c r="HW772" s="8"/>
      <c r="HX772" s="8"/>
      <c r="HY772" s="8"/>
      <c r="HZ772" s="8"/>
      <c r="IA772" s="8"/>
      <c r="IB772" s="8"/>
      <c r="IC772" s="8"/>
      <c r="ID772" s="8"/>
      <c r="IE772" s="8"/>
      <c r="IF772" s="8"/>
      <c r="IG772" s="8"/>
      <c r="IH772" s="8"/>
      <c r="II772" s="8"/>
      <c r="IJ772" s="8"/>
      <c r="IK772" s="8"/>
      <c r="IL772" s="8"/>
      <c r="IM772" s="8"/>
      <c r="IN772" s="8"/>
      <c r="IO772" s="8"/>
      <c r="IP772" s="8"/>
      <c r="IQ772" s="8"/>
      <c r="IR772" s="8"/>
      <c r="IS772" s="8"/>
      <c r="IT772" s="8"/>
      <c r="IU772" s="8"/>
      <c r="IV772" s="8"/>
    </row>
    <row r="773" ht="12.75" customHeight="1">
      <c r="A773" s="8"/>
      <c r="HT773" s="8"/>
      <c r="HU773" s="8"/>
      <c r="HV773" s="8"/>
      <c r="HW773" s="8"/>
      <c r="HX773" s="8"/>
      <c r="HY773" s="8"/>
      <c r="HZ773" s="8"/>
      <c r="IA773" s="8"/>
      <c r="IB773" s="8"/>
      <c r="IC773" s="8"/>
      <c r="ID773" s="8"/>
      <c r="IE773" s="8"/>
      <c r="IF773" s="8"/>
      <c r="IG773" s="8"/>
      <c r="IH773" s="8"/>
      <c r="II773" s="8"/>
      <c r="IJ773" s="8"/>
      <c r="IK773" s="8"/>
      <c r="IL773" s="8"/>
      <c r="IM773" s="8"/>
      <c r="IN773" s="8"/>
      <c r="IO773" s="8"/>
      <c r="IP773" s="8"/>
      <c r="IQ773" s="8"/>
      <c r="IR773" s="8"/>
      <c r="IS773" s="8"/>
      <c r="IT773" s="8"/>
      <c r="IU773" s="8"/>
      <c r="IV773" s="8"/>
    </row>
    <row r="774" ht="12.75" customHeight="1">
      <c r="A774" s="8"/>
      <c r="HT774" s="8"/>
      <c r="HU774" s="8"/>
      <c r="HV774" s="8"/>
      <c r="HW774" s="8"/>
      <c r="HX774" s="8"/>
      <c r="HY774" s="8"/>
      <c r="HZ774" s="8"/>
      <c r="IA774" s="8"/>
      <c r="IB774" s="8"/>
      <c r="IC774" s="8"/>
      <c r="ID774" s="8"/>
      <c r="IE774" s="8"/>
      <c r="IF774" s="8"/>
      <c r="IG774" s="8"/>
      <c r="IH774" s="8"/>
      <c r="II774" s="8"/>
      <c r="IJ774" s="8"/>
      <c r="IK774" s="8"/>
      <c r="IL774" s="8"/>
      <c r="IM774" s="8"/>
      <c r="IN774" s="8"/>
      <c r="IO774" s="8"/>
      <c r="IP774" s="8"/>
      <c r="IQ774" s="8"/>
      <c r="IR774" s="8"/>
      <c r="IS774" s="8"/>
      <c r="IT774" s="8"/>
      <c r="IU774" s="8"/>
      <c r="IV774" s="8"/>
    </row>
    <row r="775" ht="12.75" customHeight="1">
      <c r="A775" s="8"/>
      <c r="HT775" s="8"/>
      <c r="HU775" s="8"/>
      <c r="HV775" s="8"/>
      <c r="HW775" s="8"/>
      <c r="HX775" s="8"/>
      <c r="HY775" s="8"/>
      <c r="HZ775" s="8"/>
      <c r="IA775" s="8"/>
      <c r="IB775" s="8"/>
      <c r="IC775" s="8"/>
      <c r="ID775" s="8"/>
      <c r="IE775" s="8"/>
      <c r="IF775" s="8"/>
      <c r="IG775" s="8"/>
      <c r="IH775" s="8"/>
      <c r="II775" s="8"/>
      <c r="IJ775" s="8"/>
      <c r="IK775" s="8"/>
      <c r="IL775" s="8"/>
      <c r="IM775" s="8"/>
      <c r="IN775" s="8"/>
      <c r="IO775" s="8"/>
      <c r="IP775" s="8"/>
      <c r="IQ775" s="8"/>
      <c r="IR775" s="8"/>
      <c r="IS775" s="8"/>
      <c r="IT775" s="8"/>
      <c r="IU775" s="8"/>
      <c r="IV775" s="8"/>
    </row>
    <row r="776" ht="12.75" customHeight="1">
      <c r="A776" s="8"/>
      <c r="HT776" s="8"/>
      <c r="HU776" s="8"/>
      <c r="HV776" s="8"/>
      <c r="HW776" s="8"/>
      <c r="HX776" s="8"/>
      <c r="HY776" s="8"/>
      <c r="HZ776" s="8"/>
      <c r="IA776" s="8"/>
      <c r="IB776" s="8"/>
      <c r="IC776" s="8"/>
      <c r="ID776" s="8"/>
      <c r="IE776" s="8"/>
      <c r="IF776" s="8"/>
      <c r="IG776" s="8"/>
      <c r="IH776" s="8"/>
      <c r="II776" s="8"/>
      <c r="IJ776" s="8"/>
      <c r="IK776" s="8"/>
      <c r="IL776" s="8"/>
      <c r="IM776" s="8"/>
      <c r="IN776" s="8"/>
      <c r="IO776" s="8"/>
      <c r="IP776" s="8"/>
      <c r="IQ776" s="8"/>
      <c r="IR776" s="8"/>
      <c r="IS776" s="8"/>
      <c r="IT776" s="8"/>
      <c r="IU776" s="8"/>
      <c r="IV776" s="8"/>
    </row>
    <row r="777" ht="12.75" customHeight="1">
      <c r="A777" s="8"/>
      <c r="HT777" s="8"/>
      <c r="HU777" s="8"/>
      <c r="HV777" s="8"/>
      <c r="HW777" s="8"/>
      <c r="HX777" s="8"/>
      <c r="HY777" s="8"/>
      <c r="HZ777" s="8"/>
      <c r="IA777" s="8"/>
      <c r="IB777" s="8"/>
      <c r="IC777" s="8"/>
      <c r="ID777" s="8"/>
      <c r="IE777" s="8"/>
      <c r="IF777" s="8"/>
      <c r="IG777" s="8"/>
      <c r="IH777" s="8"/>
      <c r="II777" s="8"/>
      <c r="IJ777" s="8"/>
      <c r="IK777" s="8"/>
      <c r="IL777" s="8"/>
      <c r="IM777" s="8"/>
      <c r="IN777" s="8"/>
      <c r="IO777" s="8"/>
      <c r="IP777" s="8"/>
      <c r="IQ777" s="8"/>
      <c r="IR777" s="8"/>
      <c r="IS777" s="8"/>
      <c r="IT777" s="8"/>
      <c r="IU777" s="8"/>
      <c r="IV777" s="8"/>
    </row>
    <row r="778" ht="12.75" customHeight="1">
      <c r="A778" s="8"/>
      <c r="HT778" s="8"/>
      <c r="HU778" s="8"/>
      <c r="HV778" s="8"/>
      <c r="HW778" s="8"/>
      <c r="HX778" s="8"/>
      <c r="HY778" s="8"/>
      <c r="HZ778" s="8"/>
      <c r="IA778" s="8"/>
      <c r="IB778" s="8"/>
      <c r="IC778" s="8"/>
      <c r="ID778" s="8"/>
      <c r="IE778" s="8"/>
      <c r="IF778" s="8"/>
      <c r="IG778" s="8"/>
      <c r="IH778" s="8"/>
      <c r="II778" s="8"/>
      <c r="IJ778" s="8"/>
      <c r="IK778" s="8"/>
      <c r="IL778" s="8"/>
      <c r="IM778" s="8"/>
      <c r="IN778" s="8"/>
      <c r="IO778" s="8"/>
      <c r="IP778" s="8"/>
      <c r="IQ778" s="8"/>
      <c r="IR778" s="8"/>
      <c r="IS778" s="8"/>
      <c r="IT778" s="8"/>
      <c r="IU778" s="8"/>
      <c r="IV778" s="8"/>
    </row>
    <row r="779" ht="12.75" customHeight="1">
      <c r="A779" s="8"/>
      <c r="HT779" s="8"/>
      <c r="HU779" s="8"/>
      <c r="HV779" s="8"/>
      <c r="HW779" s="8"/>
      <c r="HX779" s="8"/>
      <c r="HY779" s="8"/>
      <c r="HZ779" s="8"/>
      <c r="IA779" s="8"/>
      <c r="IB779" s="8"/>
      <c r="IC779" s="8"/>
      <c r="ID779" s="8"/>
      <c r="IE779" s="8"/>
      <c r="IF779" s="8"/>
      <c r="IG779" s="8"/>
      <c r="IH779" s="8"/>
      <c r="II779" s="8"/>
      <c r="IJ779" s="8"/>
      <c r="IK779" s="8"/>
      <c r="IL779" s="8"/>
      <c r="IM779" s="8"/>
      <c r="IN779" s="8"/>
      <c r="IO779" s="8"/>
      <c r="IP779" s="8"/>
      <c r="IQ779" s="8"/>
      <c r="IR779" s="8"/>
      <c r="IS779" s="8"/>
      <c r="IT779" s="8"/>
      <c r="IU779" s="8"/>
      <c r="IV779" s="8"/>
    </row>
    <row r="780" ht="12.75" customHeight="1">
      <c r="A780" s="8"/>
      <c r="HT780" s="8"/>
      <c r="HU780" s="8"/>
      <c r="HV780" s="8"/>
      <c r="HW780" s="8"/>
      <c r="HX780" s="8"/>
      <c r="HY780" s="8"/>
      <c r="HZ780" s="8"/>
      <c r="IA780" s="8"/>
      <c r="IB780" s="8"/>
      <c r="IC780" s="8"/>
      <c r="ID780" s="8"/>
      <c r="IE780" s="8"/>
      <c r="IF780" s="8"/>
      <c r="IG780" s="8"/>
      <c r="IH780" s="8"/>
      <c r="II780" s="8"/>
      <c r="IJ780" s="8"/>
      <c r="IK780" s="8"/>
      <c r="IL780" s="8"/>
      <c r="IM780" s="8"/>
      <c r="IN780" s="8"/>
      <c r="IO780" s="8"/>
      <c r="IP780" s="8"/>
      <c r="IQ780" s="8"/>
      <c r="IR780" s="8"/>
      <c r="IS780" s="8"/>
      <c r="IT780" s="8"/>
      <c r="IU780" s="8"/>
      <c r="IV780" s="8"/>
    </row>
    <row r="781" ht="12.75" customHeight="1">
      <c r="A781" s="8"/>
      <c r="HT781" s="8"/>
      <c r="HU781" s="8"/>
      <c r="HV781" s="8"/>
      <c r="HW781" s="8"/>
      <c r="HX781" s="8"/>
      <c r="HY781" s="8"/>
      <c r="HZ781" s="8"/>
      <c r="IA781" s="8"/>
      <c r="IB781" s="8"/>
      <c r="IC781" s="8"/>
      <c r="ID781" s="8"/>
      <c r="IE781" s="8"/>
      <c r="IF781" s="8"/>
      <c r="IG781" s="8"/>
      <c r="IH781" s="8"/>
      <c r="II781" s="8"/>
      <c r="IJ781" s="8"/>
      <c r="IK781" s="8"/>
      <c r="IL781" s="8"/>
      <c r="IM781" s="8"/>
      <c r="IN781" s="8"/>
      <c r="IO781" s="8"/>
      <c r="IP781" s="8"/>
      <c r="IQ781" s="8"/>
      <c r="IR781" s="8"/>
      <c r="IS781" s="8"/>
      <c r="IT781" s="8"/>
      <c r="IU781" s="8"/>
      <c r="IV781" s="8"/>
    </row>
    <row r="782" ht="12.75" customHeight="1">
      <c r="A782" s="8"/>
      <c r="HT782" s="8"/>
      <c r="HU782" s="8"/>
      <c r="HV782" s="8"/>
      <c r="HW782" s="8"/>
      <c r="HX782" s="8"/>
      <c r="HY782" s="8"/>
      <c r="HZ782" s="8"/>
      <c r="IA782" s="8"/>
      <c r="IB782" s="8"/>
      <c r="IC782" s="8"/>
      <c r="ID782" s="8"/>
      <c r="IE782" s="8"/>
      <c r="IF782" s="8"/>
      <c r="IG782" s="8"/>
      <c r="IH782" s="8"/>
      <c r="II782" s="8"/>
      <c r="IJ782" s="8"/>
      <c r="IK782" s="8"/>
      <c r="IL782" s="8"/>
      <c r="IM782" s="8"/>
      <c r="IN782" s="8"/>
      <c r="IO782" s="8"/>
      <c r="IP782" s="8"/>
      <c r="IQ782" s="8"/>
      <c r="IR782" s="8"/>
      <c r="IS782" s="8"/>
      <c r="IT782" s="8"/>
      <c r="IU782" s="8"/>
      <c r="IV782" s="8"/>
    </row>
    <row r="783" ht="12.75" customHeight="1">
      <c r="A783" s="8"/>
      <c r="HT783" s="8"/>
      <c r="HU783" s="8"/>
      <c r="HV783" s="8"/>
      <c r="HW783" s="8"/>
      <c r="HX783" s="8"/>
      <c r="HY783" s="8"/>
      <c r="HZ783" s="8"/>
      <c r="IA783" s="8"/>
      <c r="IB783" s="8"/>
      <c r="IC783" s="8"/>
      <c r="ID783" s="8"/>
      <c r="IE783" s="8"/>
      <c r="IF783" s="8"/>
      <c r="IG783" s="8"/>
      <c r="IH783" s="8"/>
      <c r="II783" s="8"/>
      <c r="IJ783" s="8"/>
      <c r="IK783" s="8"/>
      <c r="IL783" s="8"/>
      <c r="IM783" s="8"/>
      <c r="IN783" s="8"/>
      <c r="IO783" s="8"/>
      <c r="IP783" s="8"/>
      <c r="IQ783" s="8"/>
      <c r="IR783" s="8"/>
      <c r="IS783" s="8"/>
      <c r="IT783" s="8"/>
      <c r="IU783" s="8"/>
      <c r="IV783" s="8"/>
    </row>
    <row r="784" ht="12.75" customHeight="1">
      <c r="A784" s="8"/>
      <c r="HT784" s="8"/>
      <c r="HU784" s="8"/>
      <c r="HV784" s="8"/>
      <c r="HW784" s="8"/>
      <c r="HX784" s="8"/>
      <c r="HY784" s="8"/>
      <c r="HZ784" s="8"/>
      <c r="IA784" s="8"/>
      <c r="IB784" s="8"/>
      <c r="IC784" s="8"/>
      <c r="ID784" s="8"/>
      <c r="IE784" s="8"/>
      <c r="IF784" s="8"/>
      <c r="IG784" s="8"/>
      <c r="IH784" s="8"/>
      <c r="II784" s="8"/>
      <c r="IJ784" s="8"/>
      <c r="IK784" s="8"/>
      <c r="IL784" s="8"/>
      <c r="IM784" s="8"/>
      <c r="IN784" s="8"/>
      <c r="IO784" s="8"/>
      <c r="IP784" s="8"/>
      <c r="IQ784" s="8"/>
      <c r="IR784" s="8"/>
      <c r="IS784" s="8"/>
      <c r="IT784" s="8"/>
      <c r="IU784" s="8"/>
      <c r="IV784" s="8"/>
    </row>
    <row r="785" ht="12.75" customHeight="1">
      <c r="A785" s="8"/>
      <c r="HT785" s="8"/>
      <c r="HU785" s="8"/>
      <c r="HV785" s="8"/>
      <c r="HW785" s="8"/>
      <c r="HX785" s="8"/>
      <c r="HY785" s="8"/>
      <c r="HZ785" s="8"/>
      <c r="IA785" s="8"/>
      <c r="IB785" s="8"/>
      <c r="IC785" s="8"/>
      <c r="ID785" s="8"/>
      <c r="IE785" s="8"/>
      <c r="IF785" s="8"/>
      <c r="IG785" s="8"/>
      <c r="IH785" s="8"/>
      <c r="II785" s="8"/>
      <c r="IJ785" s="8"/>
      <c r="IK785" s="8"/>
      <c r="IL785" s="8"/>
      <c r="IM785" s="8"/>
      <c r="IN785" s="8"/>
      <c r="IO785" s="8"/>
      <c r="IP785" s="8"/>
      <c r="IQ785" s="8"/>
      <c r="IR785" s="8"/>
      <c r="IS785" s="8"/>
      <c r="IT785" s="8"/>
      <c r="IU785" s="8"/>
      <c r="IV785" s="8"/>
    </row>
    <row r="786" ht="12.75" customHeight="1">
      <c r="A786" s="8"/>
      <c r="HT786" s="8"/>
      <c r="HU786" s="8"/>
      <c r="HV786" s="8"/>
      <c r="HW786" s="8"/>
      <c r="HX786" s="8"/>
      <c r="HY786" s="8"/>
      <c r="HZ786" s="8"/>
      <c r="IA786" s="8"/>
      <c r="IB786" s="8"/>
      <c r="IC786" s="8"/>
      <c r="ID786" s="8"/>
      <c r="IE786" s="8"/>
      <c r="IF786" s="8"/>
      <c r="IG786" s="8"/>
      <c r="IH786" s="8"/>
      <c r="II786" s="8"/>
      <c r="IJ786" s="8"/>
      <c r="IK786" s="8"/>
      <c r="IL786" s="8"/>
      <c r="IM786" s="8"/>
      <c r="IN786" s="8"/>
      <c r="IO786" s="8"/>
      <c r="IP786" s="8"/>
      <c r="IQ786" s="8"/>
      <c r="IR786" s="8"/>
      <c r="IS786" s="8"/>
      <c r="IT786" s="8"/>
      <c r="IU786" s="8"/>
      <c r="IV786" s="8"/>
    </row>
    <row r="787" ht="12.75" customHeight="1">
      <c r="A787" s="8"/>
      <c r="HT787" s="8"/>
      <c r="HU787" s="8"/>
      <c r="HV787" s="8"/>
      <c r="HW787" s="8"/>
      <c r="HX787" s="8"/>
      <c r="HY787" s="8"/>
      <c r="HZ787" s="8"/>
      <c r="IA787" s="8"/>
      <c r="IB787" s="8"/>
      <c r="IC787" s="8"/>
      <c r="ID787" s="8"/>
      <c r="IE787" s="8"/>
      <c r="IF787" s="8"/>
      <c r="IG787" s="8"/>
      <c r="IH787" s="8"/>
      <c r="II787" s="8"/>
      <c r="IJ787" s="8"/>
      <c r="IK787" s="8"/>
      <c r="IL787" s="8"/>
      <c r="IM787" s="8"/>
      <c r="IN787" s="8"/>
      <c r="IO787" s="8"/>
      <c r="IP787" s="8"/>
      <c r="IQ787" s="8"/>
      <c r="IR787" s="8"/>
      <c r="IS787" s="8"/>
      <c r="IT787" s="8"/>
      <c r="IU787" s="8"/>
      <c r="IV787" s="8"/>
    </row>
    <row r="788" ht="12.75" customHeight="1">
      <c r="A788" s="8"/>
      <c r="HT788" s="8"/>
      <c r="HU788" s="8"/>
      <c r="HV788" s="8"/>
      <c r="HW788" s="8"/>
      <c r="HX788" s="8"/>
      <c r="HY788" s="8"/>
      <c r="HZ788" s="8"/>
      <c r="IA788" s="8"/>
      <c r="IB788" s="8"/>
      <c r="IC788" s="8"/>
      <c r="ID788" s="8"/>
      <c r="IE788" s="8"/>
      <c r="IF788" s="8"/>
      <c r="IG788" s="8"/>
      <c r="IH788" s="8"/>
      <c r="II788" s="8"/>
      <c r="IJ788" s="8"/>
      <c r="IK788" s="8"/>
      <c r="IL788" s="8"/>
      <c r="IM788" s="8"/>
      <c r="IN788" s="8"/>
      <c r="IO788" s="8"/>
      <c r="IP788" s="8"/>
      <c r="IQ788" s="8"/>
      <c r="IR788" s="8"/>
      <c r="IS788" s="8"/>
      <c r="IT788" s="8"/>
      <c r="IU788" s="8"/>
      <c r="IV788" s="8"/>
    </row>
    <row r="789" ht="12.75" customHeight="1">
      <c r="A789" s="8"/>
      <c r="HT789" s="8"/>
      <c r="HU789" s="8"/>
      <c r="HV789" s="8"/>
      <c r="HW789" s="8"/>
      <c r="HX789" s="8"/>
      <c r="HY789" s="8"/>
      <c r="HZ789" s="8"/>
      <c r="IA789" s="8"/>
      <c r="IB789" s="8"/>
      <c r="IC789" s="8"/>
      <c r="ID789" s="8"/>
      <c r="IE789" s="8"/>
      <c r="IF789" s="8"/>
      <c r="IG789" s="8"/>
      <c r="IH789" s="8"/>
      <c r="II789" s="8"/>
      <c r="IJ789" s="8"/>
      <c r="IK789" s="8"/>
      <c r="IL789" s="8"/>
      <c r="IM789" s="8"/>
      <c r="IN789" s="8"/>
      <c r="IO789" s="8"/>
      <c r="IP789" s="8"/>
      <c r="IQ789" s="8"/>
      <c r="IR789" s="8"/>
      <c r="IS789" s="8"/>
      <c r="IT789" s="8"/>
      <c r="IU789" s="8"/>
      <c r="IV789" s="8"/>
    </row>
    <row r="790" ht="12.75" customHeight="1">
      <c r="A790" s="8"/>
      <c r="HT790" s="8"/>
      <c r="HU790" s="8"/>
      <c r="HV790" s="8"/>
      <c r="HW790" s="8"/>
      <c r="HX790" s="8"/>
      <c r="HY790" s="8"/>
      <c r="HZ790" s="8"/>
      <c r="IA790" s="8"/>
      <c r="IB790" s="8"/>
      <c r="IC790" s="8"/>
      <c r="ID790" s="8"/>
      <c r="IE790" s="8"/>
      <c r="IF790" s="8"/>
      <c r="IG790" s="8"/>
      <c r="IH790" s="8"/>
      <c r="II790" s="8"/>
      <c r="IJ790" s="8"/>
      <c r="IK790" s="8"/>
      <c r="IL790" s="8"/>
      <c r="IM790" s="8"/>
      <c r="IN790" s="8"/>
      <c r="IO790" s="8"/>
      <c r="IP790" s="8"/>
      <c r="IQ790" s="8"/>
      <c r="IR790" s="8"/>
      <c r="IS790" s="8"/>
      <c r="IT790" s="8"/>
      <c r="IU790" s="8"/>
      <c r="IV790" s="8"/>
    </row>
    <row r="791" ht="12.75" customHeight="1">
      <c r="A791" s="8"/>
      <c r="HT791" s="8"/>
      <c r="HU791" s="8"/>
      <c r="HV791" s="8"/>
      <c r="HW791" s="8"/>
      <c r="HX791" s="8"/>
      <c r="HY791" s="8"/>
      <c r="HZ791" s="8"/>
      <c r="IA791" s="8"/>
      <c r="IB791" s="8"/>
      <c r="IC791" s="8"/>
      <c r="ID791" s="8"/>
      <c r="IE791" s="8"/>
      <c r="IF791" s="8"/>
      <c r="IG791" s="8"/>
      <c r="IH791" s="8"/>
      <c r="II791" s="8"/>
      <c r="IJ791" s="8"/>
      <c r="IK791" s="8"/>
      <c r="IL791" s="8"/>
      <c r="IM791" s="8"/>
      <c r="IN791" s="8"/>
      <c r="IO791" s="8"/>
      <c r="IP791" s="8"/>
      <c r="IQ791" s="8"/>
      <c r="IR791" s="8"/>
      <c r="IS791" s="8"/>
      <c r="IT791" s="8"/>
      <c r="IU791" s="8"/>
      <c r="IV791" s="8"/>
    </row>
    <row r="792" ht="12.75" customHeight="1">
      <c r="A792" s="8"/>
      <c r="HT792" s="8"/>
      <c r="HU792" s="8"/>
      <c r="HV792" s="8"/>
      <c r="HW792" s="8"/>
      <c r="HX792" s="8"/>
      <c r="HY792" s="8"/>
      <c r="HZ792" s="8"/>
      <c r="IA792" s="8"/>
      <c r="IB792" s="8"/>
      <c r="IC792" s="8"/>
      <c r="ID792" s="8"/>
      <c r="IE792" s="8"/>
      <c r="IF792" s="8"/>
      <c r="IG792" s="8"/>
      <c r="IH792" s="8"/>
      <c r="II792" s="8"/>
      <c r="IJ792" s="8"/>
      <c r="IK792" s="8"/>
      <c r="IL792" s="8"/>
      <c r="IM792" s="8"/>
      <c r="IN792" s="8"/>
      <c r="IO792" s="8"/>
      <c r="IP792" s="8"/>
      <c r="IQ792" s="8"/>
      <c r="IR792" s="8"/>
      <c r="IS792" s="8"/>
      <c r="IT792" s="8"/>
      <c r="IU792" s="8"/>
      <c r="IV792" s="8"/>
    </row>
    <row r="793" ht="12.75" customHeight="1">
      <c r="A793" s="8"/>
      <c r="HT793" s="8"/>
      <c r="HU793" s="8"/>
      <c r="HV793" s="8"/>
      <c r="HW793" s="8"/>
      <c r="HX793" s="8"/>
      <c r="HY793" s="8"/>
      <c r="HZ793" s="8"/>
      <c r="IA793" s="8"/>
      <c r="IB793" s="8"/>
      <c r="IC793" s="8"/>
      <c r="ID793" s="8"/>
      <c r="IE793" s="8"/>
      <c r="IF793" s="8"/>
      <c r="IG793" s="8"/>
      <c r="IH793" s="8"/>
      <c r="II793" s="8"/>
      <c r="IJ793" s="8"/>
      <c r="IK793" s="8"/>
      <c r="IL793" s="8"/>
      <c r="IM793" s="8"/>
      <c r="IN793" s="8"/>
      <c r="IO793" s="8"/>
      <c r="IP793" s="8"/>
      <c r="IQ793" s="8"/>
      <c r="IR793" s="8"/>
      <c r="IS793" s="8"/>
      <c r="IT793" s="8"/>
      <c r="IU793" s="8"/>
      <c r="IV793" s="8"/>
    </row>
    <row r="794" ht="12.75" customHeight="1">
      <c r="A794" s="8"/>
      <c r="HT794" s="8"/>
      <c r="HU794" s="8"/>
      <c r="HV794" s="8"/>
      <c r="HW794" s="8"/>
      <c r="HX794" s="8"/>
      <c r="HY794" s="8"/>
      <c r="HZ794" s="8"/>
      <c r="IA794" s="8"/>
      <c r="IB794" s="8"/>
      <c r="IC794" s="8"/>
      <c r="ID794" s="8"/>
      <c r="IE794" s="8"/>
      <c r="IF794" s="8"/>
      <c r="IG794" s="8"/>
      <c r="IH794" s="8"/>
      <c r="II794" s="8"/>
      <c r="IJ794" s="8"/>
      <c r="IK794" s="8"/>
      <c r="IL794" s="8"/>
      <c r="IM794" s="8"/>
      <c r="IN794" s="8"/>
      <c r="IO794" s="8"/>
      <c r="IP794" s="8"/>
      <c r="IQ794" s="8"/>
      <c r="IR794" s="8"/>
      <c r="IS794" s="8"/>
      <c r="IT794" s="8"/>
      <c r="IU794" s="8"/>
      <c r="IV794" s="8"/>
    </row>
    <row r="795" ht="12.75" customHeight="1">
      <c r="A795" s="8"/>
      <c r="HT795" s="8"/>
      <c r="HU795" s="8"/>
      <c r="HV795" s="8"/>
      <c r="HW795" s="8"/>
      <c r="HX795" s="8"/>
      <c r="HY795" s="8"/>
      <c r="HZ795" s="8"/>
      <c r="IA795" s="8"/>
      <c r="IB795" s="8"/>
      <c r="IC795" s="8"/>
      <c r="ID795" s="8"/>
      <c r="IE795" s="8"/>
      <c r="IF795" s="8"/>
      <c r="IG795" s="8"/>
      <c r="IH795" s="8"/>
      <c r="II795" s="8"/>
      <c r="IJ795" s="8"/>
      <c r="IK795" s="8"/>
      <c r="IL795" s="8"/>
      <c r="IM795" s="8"/>
      <c r="IN795" s="8"/>
      <c r="IO795" s="8"/>
      <c r="IP795" s="8"/>
      <c r="IQ795" s="8"/>
      <c r="IR795" s="8"/>
      <c r="IS795" s="8"/>
      <c r="IT795" s="8"/>
      <c r="IU795" s="8"/>
      <c r="IV795" s="8"/>
    </row>
    <row r="796" ht="12.75" customHeight="1">
      <c r="A796" s="8"/>
      <c r="HT796" s="8"/>
      <c r="HU796" s="8"/>
      <c r="HV796" s="8"/>
      <c r="HW796" s="8"/>
      <c r="HX796" s="8"/>
      <c r="HY796" s="8"/>
      <c r="HZ796" s="8"/>
      <c r="IA796" s="8"/>
      <c r="IB796" s="8"/>
      <c r="IC796" s="8"/>
      <c r="ID796" s="8"/>
      <c r="IE796" s="8"/>
      <c r="IF796" s="8"/>
      <c r="IG796" s="8"/>
      <c r="IH796" s="8"/>
      <c r="II796" s="8"/>
      <c r="IJ796" s="8"/>
      <c r="IK796" s="8"/>
      <c r="IL796" s="8"/>
      <c r="IM796" s="8"/>
      <c r="IN796" s="8"/>
      <c r="IO796" s="8"/>
      <c r="IP796" s="8"/>
      <c r="IQ796" s="8"/>
      <c r="IR796" s="8"/>
      <c r="IS796" s="8"/>
      <c r="IT796" s="8"/>
      <c r="IU796" s="8"/>
      <c r="IV796" s="8"/>
    </row>
    <row r="797" ht="12.75" customHeight="1">
      <c r="A797" s="8"/>
      <c r="HT797" s="8"/>
      <c r="HU797" s="8"/>
      <c r="HV797" s="8"/>
      <c r="HW797" s="8"/>
      <c r="HX797" s="8"/>
      <c r="HY797" s="8"/>
      <c r="HZ797" s="8"/>
      <c r="IA797" s="8"/>
      <c r="IB797" s="8"/>
      <c r="IC797" s="8"/>
      <c r="ID797" s="8"/>
      <c r="IE797" s="8"/>
      <c r="IF797" s="8"/>
      <c r="IG797" s="8"/>
      <c r="IH797" s="8"/>
      <c r="II797" s="8"/>
      <c r="IJ797" s="8"/>
      <c r="IK797" s="8"/>
      <c r="IL797" s="8"/>
      <c r="IM797" s="8"/>
      <c r="IN797" s="8"/>
      <c r="IO797" s="8"/>
      <c r="IP797" s="8"/>
      <c r="IQ797" s="8"/>
      <c r="IR797" s="8"/>
      <c r="IS797" s="8"/>
      <c r="IT797" s="8"/>
      <c r="IU797" s="8"/>
      <c r="IV797" s="8"/>
    </row>
    <row r="798" ht="12.75" customHeight="1">
      <c r="A798" s="8"/>
      <c r="HT798" s="8"/>
      <c r="HU798" s="8"/>
      <c r="HV798" s="8"/>
      <c r="HW798" s="8"/>
      <c r="HX798" s="8"/>
      <c r="HY798" s="8"/>
      <c r="HZ798" s="8"/>
      <c r="IA798" s="8"/>
      <c r="IB798" s="8"/>
      <c r="IC798" s="8"/>
      <c r="ID798" s="8"/>
      <c r="IE798" s="8"/>
      <c r="IF798" s="8"/>
      <c r="IG798" s="8"/>
      <c r="IH798" s="8"/>
      <c r="II798" s="8"/>
      <c r="IJ798" s="8"/>
      <c r="IK798" s="8"/>
      <c r="IL798" s="8"/>
      <c r="IM798" s="8"/>
      <c r="IN798" s="8"/>
      <c r="IO798" s="8"/>
      <c r="IP798" s="8"/>
      <c r="IQ798" s="8"/>
      <c r="IR798" s="8"/>
      <c r="IS798" s="8"/>
      <c r="IT798" s="8"/>
      <c r="IU798" s="8"/>
      <c r="IV798" s="8"/>
    </row>
    <row r="799" ht="12.75" customHeight="1">
      <c r="A799" s="8"/>
      <c r="HT799" s="8"/>
      <c r="HU799" s="8"/>
      <c r="HV799" s="8"/>
      <c r="HW799" s="8"/>
      <c r="HX799" s="8"/>
      <c r="HY799" s="8"/>
      <c r="HZ799" s="8"/>
      <c r="IA799" s="8"/>
      <c r="IB799" s="8"/>
      <c r="IC799" s="8"/>
      <c r="ID799" s="8"/>
      <c r="IE799" s="8"/>
      <c r="IF799" s="8"/>
      <c r="IG799" s="8"/>
      <c r="IH799" s="8"/>
      <c r="II799" s="8"/>
      <c r="IJ799" s="8"/>
      <c r="IK799" s="8"/>
      <c r="IL799" s="8"/>
      <c r="IM799" s="8"/>
      <c r="IN799" s="8"/>
      <c r="IO799" s="8"/>
      <c r="IP799" s="8"/>
      <c r="IQ799" s="8"/>
      <c r="IR799" s="8"/>
      <c r="IS799" s="8"/>
      <c r="IT799" s="8"/>
      <c r="IU799" s="8"/>
      <c r="IV799" s="8"/>
    </row>
    <row r="800" ht="12.75" customHeight="1">
      <c r="A800" s="8"/>
      <c r="HT800" s="8"/>
      <c r="HU800" s="8"/>
      <c r="HV800" s="8"/>
      <c r="HW800" s="8"/>
      <c r="HX800" s="8"/>
      <c r="HY800" s="8"/>
      <c r="HZ800" s="8"/>
      <c r="IA800" s="8"/>
      <c r="IB800" s="8"/>
      <c r="IC800" s="8"/>
      <c r="ID800" s="8"/>
      <c r="IE800" s="8"/>
      <c r="IF800" s="8"/>
      <c r="IG800" s="8"/>
      <c r="IH800" s="8"/>
      <c r="II800" s="8"/>
      <c r="IJ800" s="8"/>
      <c r="IK800" s="8"/>
      <c r="IL800" s="8"/>
      <c r="IM800" s="8"/>
      <c r="IN800" s="8"/>
      <c r="IO800" s="8"/>
      <c r="IP800" s="8"/>
      <c r="IQ800" s="8"/>
      <c r="IR800" s="8"/>
      <c r="IS800" s="8"/>
      <c r="IT800" s="8"/>
      <c r="IU800" s="8"/>
      <c r="IV800" s="8"/>
    </row>
    <row r="801" ht="12.75" customHeight="1">
      <c r="A801" s="8"/>
      <c r="HT801" s="8"/>
      <c r="HU801" s="8"/>
      <c r="HV801" s="8"/>
      <c r="HW801" s="8"/>
      <c r="HX801" s="8"/>
      <c r="HY801" s="8"/>
      <c r="HZ801" s="8"/>
      <c r="IA801" s="8"/>
      <c r="IB801" s="8"/>
      <c r="IC801" s="8"/>
      <c r="ID801" s="8"/>
      <c r="IE801" s="8"/>
      <c r="IF801" s="8"/>
      <c r="IG801" s="8"/>
      <c r="IH801" s="8"/>
      <c r="II801" s="8"/>
      <c r="IJ801" s="8"/>
      <c r="IK801" s="8"/>
      <c r="IL801" s="8"/>
      <c r="IM801" s="8"/>
      <c r="IN801" s="8"/>
      <c r="IO801" s="8"/>
      <c r="IP801" s="8"/>
      <c r="IQ801" s="8"/>
      <c r="IR801" s="8"/>
      <c r="IS801" s="8"/>
      <c r="IT801" s="8"/>
      <c r="IU801" s="8"/>
      <c r="IV801" s="8"/>
    </row>
    <row r="802" ht="12.75" customHeight="1">
      <c r="A802" s="8"/>
      <c r="HT802" s="8"/>
      <c r="HU802" s="8"/>
      <c r="HV802" s="8"/>
      <c r="HW802" s="8"/>
      <c r="HX802" s="8"/>
      <c r="HY802" s="8"/>
      <c r="HZ802" s="8"/>
      <c r="IA802" s="8"/>
      <c r="IB802" s="8"/>
      <c r="IC802" s="8"/>
      <c r="ID802" s="8"/>
      <c r="IE802" s="8"/>
      <c r="IF802" s="8"/>
      <c r="IG802" s="8"/>
      <c r="IH802" s="8"/>
      <c r="II802" s="8"/>
      <c r="IJ802" s="8"/>
      <c r="IK802" s="8"/>
      <c r="IL802" s="8"/>
      <c r="IM802" s="8"/>
      <c r="IN802" s="8"/>
      <c r="IO802" s="8"/>
      <c r="IP802" s="8"/>
      <c r="IQ802" s="8"/>
      <c r="IR802" s="8"/>
      <c r="IS802" s="8"/>
      <c r="IT802" s="8"/>
      <c r="IU802" s="8"/>
      <c r="IV802" s="8"/>
    </row>
    <row r="803" ht="12.75" customHeight="1">
      <c r="A803" s="8"/>
      <c r="HT803" s="8"/>
      <c r="HU803" s="8"/>
      <c r="HV803" s="8"/>
      <c r="HW803" s="8"/>
      <c r="HX803" s="8"/>
      <c r="HY803" s="8"/>
      <c r="HZ803" s="8"/>
      <c r="IA803" s="8"/>
      <c r="IB803" s="8"/>
      <c r="IC803" s="8"/>
      <c r="ID803" s="8"/>
      <c r="IE803" s="8"/>
      <c r="IF803" s="8"/>
      <c r="IG803" s="8"/>
      <c r="IH803" s="8"/>
      <c r="II803" s="8"/>
      <c r="IJ803" s="8"/>
      <c r="IK803" s="8"/>
      <c r="IL803" s="8"/>
      <c r="IM803" s="8"/>
      <c r="IN803" s="8"/>
      <c r="IO803" s="8"/>
      <c r="IP803" s="8"/>
      <c r="IQ803" s="8"/>
      <c r="IR803" s="8"/>
      <c r="IS803" s="8"/>
      <c r="IT803" s="8"/>
      <c r="IU803" s="8"/>
      <c r="IV803" s="8"/>
    </row>
    <row r="804" ht="12.75" customHeight="1">
      <c r="A804" s="8"/>
      <c r="HT804" s="8"/>
      <c r="HU804" s="8"/>
      <c r="HV804" s="8"/>
      <c r="HW804" s="8"/>
      <c r="HX804" s="8"/>
      <c r="HY804" s="8"/>
      <c r="HZ804" s="8"/>
      <c r="IA804" s="8"/>
      <c r="IB804" s="8"/>
      <c r="IC804" s="8"/>
      <c r="ID804" s="8"/>
      <c r="IE804" s="8"/>
      <c r="IF804" s="8"/>
      <c r="IG804" s="8"/>
      <c r="IH804" s="8"/>
      <c r="II804" s="8"/>
      <c r="IJ804" s="8"/>
      <c r="IK804" s="8"/>
      <c r="IL804" s="8"/>
      <c r="IM804" s="8"/>
      <c r="IN804" s="8"/>
      <c r="IO804" s="8"/>
      <c r="IP804" s="8"/>
      <c r="IQ804" s="8"/>
      <c r="IR804" s="8"/>
      <c r="IS804" s="8"/>
      <c r="IT804" s="8"/>
      <c r="IU804" s="8"/>
      <c r="IV804" s="8"/>
    </row>
    <row r="805" ht="12.75" customHeight="1">
      <c r="A805" s="8"/>
      <c r="HT805" s="8"/>
      <c r="HU805" s="8"/>
      <c r="HV805" s="8"/>
      <c r="HW805" s="8"/>
      <c r="HX805" s="8"/>
      <c r="HY805" s="8"/>
      <c r="HZ805" s="8"/>
      <c r="IA805" s="8"/>
      <c r="IB805" s="8"/>
      <c r="IC805" s="8"/>
      <c r="ID805" s="8"/>
      <c r="IE805" s="8"/>
      <c r="IF805" s="8"/>
      <c r="IG805" s="8"/>
      <c r="IH805" s="8"/>
      <c r="II805" s="8"/>
      <c r="IJ805" s="8"/>
      <c r="IK805" s="8"/>
      <c r="IL805" s="8"/>
      <c r="IM805" s="8"/>
      <c r="IN805" s="8"/>
      <c r="IO805" s="8"/>
      <c r="IP805" s="8"/>
      <c r="IQ805" s="8"/>
      <c r="IR805" s="8"/>
      <c r="IS805" s="8"/>
      <c r="IT805" s="8"/>
      <c r="IU805" s="8"/>
      <c r="IV805" s="8"/>
    </row>
    <row r="806" ht="12.75" customHeight="1">
      <c r="A806" s="8"/>
      <c r="HT806" s="8"/>
      <c r="HU806" s="8"/>
      <c r="HV806" s="8"/>
      <c r="HW806" s="8"/>
      <c r="HX806" s="8"/>
      <c r="HY806" s="8"/>
      <c r="HZ806" s="8"/>
      <c r="IA806" s="8"/>
      <c r="IB806" s="8"/>
      <c r="IC806" s="8"/>
      <c r="ID806" s="8"/>
      <c r="IE806" s="8"/>
      <c r="IF806" s="8"/>
      <c r="IG806" s="8"/>
      <c r="IH806" s="8"/>
      <c r="II806" s="8"/>
      <c r="IJ806" s="8"/>
      <c r="IK806" s="8"/>
      <c r="IL806" s="8"/>
      <c r="IM806" s="8"/>
      <c r="IN806" s="8"/>
      <c r="IO806" s="8"/>
      <c r="IP806" s="8"/>
      <c r="IQ806" s="8"/>
      <c r="IR806" s="8"/>
      <c r="IS806" s="8"/>
      <c r="IT806" s="8"/>
      <c r="IU806" s="8"/>
      <c r="IV806" s="8"/>
    </row>
    <row r="807" ht="12.75" customHeight="1">
      <c r="A807" s="8"/>
      <c r="HT807" s="8"/>
      <c r="HU807" s="8"/>
      <c r="HV807" s="8"/>
      <c r="HW807" s="8"/>
      <c r="HX807" s="8"/>
      <c r="HY807" s="8"/>
      <c r="HZ807" s="8"/>
      <c r="IA807" s="8"/>
      <c r="IB807" s="8"/>
      <c r="IC807" s="8"/>
      <c r="ID807" s="8"/>
      <c r="IE807" s="8"/>
      <c r="IF807" s="8"/>
      <c r="IG807" s="8"/>
      <c r="IH807" s="8"/>
      <c r="II807" s="8"/>
      <c r="IJ807" s="8"/>
      <c r="IK807" s="8"/>
      <c r="IL807" s="8"/>
      <c r="IM807" s="8"/>
      <c r="IN807" s="8"/>
      <c r="IO807" s="8"/>
      <c r="IP807" s="8"/>
      <c r="IQ807" s="8"/>
      <c r="IR807" s="8"/>
      <c r="IS807" s="8"/>
      <c r="IT807" s="8"/>
      <c r="IU807" s="8"/>
      <c r="IV807" s="8"/>
    </row>
    <row r="808" ht="12.75" customHeight="1">
      <c r="A808" s="8"/>
      <c r="HT808" s="8"/>
      <c r="HU808" s="8"/>
      <c r="HV808" s="8"/>
      <c r="HW808" s="8"/>
      <c r="HX808" s="8"/>
      <c r="HY808" s="8"/>
      <c r="HZ808" s="8"/>
      <c r="IA808" s="8"/>
      <c r="IB808" s="8"/>
      <c r="IC808" s="8"/>
      <c r="ID808" s="8"/>
      <c r="IE808" s="8"/>
      <c r="IF808" s="8"/>
      <c r="IG808" s="8"/>
      <c r="IH808" s="8"/>
      <c r="II808" s="8"/>
      <c r="IJ808" s="8"/>
      <c r="IK808" s="8"/>
      <c r="IL808" s="8"/>
      <c r="IM808" s="8"/>
      <c r="IN808" s="8"/>
      <c r="IO808" s="8"/>
      <c r="IP808" s="8"/>
      <c r="IQ808" s="8"/>
      <c r="IR808" s="8"/>
      <c r="IS808" s="8"/>
      <c r="IT808" s="8"/>
      <c r="IU808" s="8"/>
      <c r="IV808" s="8"/>
    </row>
    <row r="809" ht="12.75" customHeight="1">
      <c r="A809" s="8"/>
      <c r="HT809" s="8"/>
      <c r="HU809" s="8"/>
      <c r="HV809" s="8"/>
      <c r="HW809" s="8"/>
      <c r="HX809" s="8"/>
      <c r="HY809" s="8"/>
      <c r="HZ809" s="8"/>
      <c r="IA809" s="8"/>
      <c r="IB809" s="8"/>
      <c r="IC809" s="8"/>
      <c r="ID809" s="8"/>
      <c r="IE809" s="8"/>
      <c r="IF809" s="8"/>
      <c r="IG809" s="8"/>
      <c r="IH809" s="8"/>
      <c r="II809" s="8"/>
      <c r="IJ809" s="8"/>
      <c r="IK809" s="8"/>
      <c r="IL809" s="8"/>
      <c r="IM809" s="8"/>
      <c r="IN809" s="8"/>
      <c r="IO809" s="8"/>
      <c r="IP809" s="8"/>
      <c r="IQ809" s="8"/>
      <c r="IR809" s="8"/>
      <c r="IS809" s="8"/>
      <c r="IT809" s="8"/>
      <c r="IU809" s="8"/>
      <c r="IV809" s="8"/>
    </row>
    <row r="810" ht="12.75" customHeight="1">
      <c r="A810" s="8"/>
      <c r="HT810" s="8"/>
      <c r="HU810" s="8"/>
      <c r="HV810" s="8"/>
      <c r="HW810" s="8"/>
      <c r="HX810" s="8"/>
      <c r="HY810" s="8"/>
      <c r="HZ810" s="8"/>
      <c r="IA810" s="8"/>
      <c r="IB810" s="8"/>
      <c r="IC810" s="8"/>
      <c r="ID810" s="8"/>
      <c r="IE810" s="8"/>
      <c r="IF810" s="8"/>
      <c r="IG810" s="8"/>
      <c r="IH810" s="8"/>
      <c r="II810" s="8"/>
      <c r="IJ810" s="8"/>
      <c r="IK810" s="8"/>
      <c r="IL810" s="8"/>
      <c r="IM810" s="8"/>
      <c r="IN810" s="8"/>
      <c r="IO810" s="8"/>
      <c r="IP810" s="8"/>
      <c r="IQ810" s="8"/>
      <c r="IR810" s="8"/>
      <c r="IS810" s="8"/>
      <c r="IT810" s="8"/>
      <c r="IU810" s="8"/>
      <c r="IV810" s="8"/>
    </row>
    <row r="811" ht="12.75" customHeight="1">
      <c r="A811" s="8"/>
      <c r="HT811" s="8"/>
      <c r="HU811" s="8"/>
      <c r="HV811" s="8"/>
      <c r="HW811" s="8"/>
      <c r="HX811" s="8"/>
      <c r="HY811" s="8"/>
      <c r="HZ811" s="8"/>
      <c r="IA811" s="8"/>
      <c r="IB811" s="8"/>
      <c r="IC811" s="8"/>
      <c r="ID811" s="8"/>
      <c r="IE811" s="8"/>
      <c r="IF811" s="8"/>
      <c r="IG811" s="8"/>
      <c r="IH811" s="8"/>
      <c r="II811" s="8"/>
      <c r="IJ811" s="8"/>
      <c r="IK811" s="8"/>
      <c r="IL811" s="8"/>
      <c r="IM811" s="8"/>
      <c r="IN811" s="8"/>
      <c r="IO811" s="8"/>
      <c r="IP811" s="8"/>
      <c r="IQ811" s="8"/>
      <c r="IR811" s="8"/>
      <c r="IS811" s="8"/>
      <c r="IT811" s="8"/>
      <c r="IU811" s="8"/>
      <c r="IV811" s="8"/>
    </row>
    <row r="812" ht="12.75" customHeight="1">
      <c r="A812" s="8"/>
      <c r="HT812" s="8"/>
      <c r="HU812" s="8"/>
      <c r="HV812" s="8"/>
      <c r="HW812" s="8"/>
      <c r="HX812" s="8"/>
      <c r="HY812" s="8"/>
      <c r="HZ812" s="8"/>
      <c r="IA812" s="8"/>
      <c r="IB812" s="8"/>
      <c r="IC812" s="8"/>
      <c r="ID812" s="8"/>
      <c r="IE812" s="8"/>
      <c r="IF812" s="8"/>
      <c r="IG812" s="8"/>
      <c r="IH812" s="8"/>
      <c r="II812" s="8"/>
      <c r="IJ812" s="8"/>
      <c r="IK812" s="8"/>
      <c r="IL812" s="8"/>
      <c r="IM812" s="8"/>
      <c r="IN812" s="8"/>
      <c r="IO812" s="8"/>
      <c r="IP812" s="8"/>
      <c r="IQ812" s="8"/>
      <c r="IR812" s="8"/>
      <c r="IS812" s="8"/>
      <c r="IT812" s="8"/>
      <c r="IU812" s="8"/>
      <c r="IV812" s="8"/>
    </row>
    <row r="813" ht="12.75" customHeight="1">
      <c r="A813" s="8"/>
      <c r="HT813" s="8"/>
      <c r="HU813" s="8"/>
      <c r="HV813" s="8"/>
      <c r="HW813" s="8"/>
      <c r="HX813" s="8"/>
      <c r="HY813" s="8"/>
      <c r="HZ813" s="8"/>
      <c r="IA813" s="8"/>
      <c r="IB813" s="8"/>
      <c r="IC813" s="8"/>
      <c r="ID813" s="8"/>
      <c r="IE813" s="8"/>
      <c r="IF813" s="8"/>
      <c r="IG813" s="8"/>
      <c r="IH813" s="8"/>
      <c r="II813" s="8"/>
      <c r="IJ813" s="8"/>
      <c r="IK813" s="8"/>
      <c r="IL813" s="8"/>
      <c r="IM813" s="8"/>
      <c r="IN813" s="8"/>
      <c r="IO813" s="8"/>
      <c r="IP813" s="8"/>
      <c r="IQ813" s="8"/>
      <c r="IR813" s="8"/>
      <c r="IS813" s="8"/>
      <c r="IT813" s="8"/>
      <c r="IU813" s="8"/>
      <c r="IV813" s="8"/>
    </row>
    <row r="814" ht="12.75" customHeight="1">
      <c r="A814" s="8"/>
      <c r="HT814" s="8"/>
      <c r="HU814" s="8"/>
      <c r="HV814" s="8"/>
      <c r="HW814" s="8"/>
      <c r="HX814" s="8"/>
      <c r="HY814" s="8"/>
      <c r="HZ814" s="8"/>
      <c r="IA814" s="8"/>
      <c r="IB814" s="8"/>
      <c r="IC814" s="8"/>
      <c r="ID814" s="8"/>
      <c r="IE814" s="8"/>
      <c r="IF814" s="8"/>
      <c r="IG814" s="8"/>
      <c r="IH814" s="8"/>
      <c r="II814" s="8"/>
      <c r="IJ814" s="8"/>
      <c r="IK814" s="8"/>
      <c r="IL814" s="8"/>
      <c r="IM814" s="8"/>
      <c r="IN814" s="8"/>
      <c r="IO814" s="8"/>
      <c r="IP814" s="8"/>
      <c r="IQ814" s="8"/>
      <c r="IR814" s="8"/>
      <c r="IS814" s="8"/>
      <c r="IT814" s="8"/>
      <c r="IU814" s="8"/>
      <c r="IV814" s="8"/>
    </row>
    <row r="815" ht="12.75" customHeight="1">
      <c r="A815" s="8"/>
      <c r="HT815" s="8"/>
      <c r="HU815" s="8"/>
      <c r="HV815" s="8"/>
      <c r="HW815" s="8"/>
      <c r="HX815" s="8"/>
      <c r="HY815" s="8"/>
      <c r="HZ815" s="8"/>
      <c r="IA815" s="8"/>
      <c r="IB815" s="8"/>
      <c r="IC815" s="8"/>
      <c r="ID815" s="8"/>
      <c r="IE815" s="8"/>
      <c r="IF815" s="8"/>
      <c r="IG815" s="8"/>
      <c r="IH815" s="8"/>
      <c r="II815" s="8"/>
      <c r="IJ815" s="8"/>
      <c r="IK815" s="8"/>
      <c r="IL815" s="8"/>
      <c r="IM815" s="8"/>
      <c r="IN815" s="8"/>
      <c r="IO815" s="8"/>
      <c r="IP815" s="8"/>
      <c r="IQ815" s="8"/>
      <c r="IR815" s="8"/>
      <c r="IS815" s="8"/>
      <c r="IT815" s="8"/>
      <c r="IU815" s="8"/>
      <c r="IV815" s="8"/>
    </row>
    <row r="816" ht="12.75" customHeight="1">
      <c r="A816" s="8"/>
      <c r="HT816" s="8"/>
      <c r="HU816" s="8"/>
      <c r="HV816" s="8"/>
      <c r="HW816" s="8"/>
      <c r="HX816" s="8"/>
      <c r="HY816" s="8"/>
      <c r="HZ816" s="8"/>
      <c r="IA816" s="8"/>
      <c r="IB816" s="8"/>
      <c r="IC816" s="8"/>
      <c r="ID816" s="8"/>
      <c r="IE816" s="8"/>
      <c r="IF816" s="8"/>
      <c r="IG816" s="8"/>
      <c r="IH816" s="8"/>
      <c r="II816" s="8"/>
      <c r="IJ816" s="8"/>
      <c r="IK816" s="8"/>
      <c r="IL816" s="8"/>
      <c r="IM816" s="8"/>
      <c r="IN816" s="8"/>
      <c r="IO816" s="8"/>
      <c r="IP816" s="8"/>
      <c r="IQ816" s="8"/>
      <c r="IR816" s="8"/>
      <c r="IS816" s="8"/>
      <c r="IT816" s="8"/>
      <c r="IU816" s="8"/>
      <c r="IV816" s="8"/>
    </row>
    <row r="817" ht="12.75" customHeight="1">
      <c r="A817" s="8"/>
      <c r="HT817" s="8"/>
      <c r="HU817" s="8"/>
      <c r="HV817" s="8"/>
      <c r="HW817" s="8"/>
      <c r="HX817" s="8"/>
      <c r="HY817" s="8"/>
      <c r="HZ817" s="8"/>
      <c r="IA817" s="8"/>
      <c r="IB817" s="8"/>
      <c r="IC817" s="8"/>
      <c r="ID817" s="8"/>
      <c r="IE817" s="8"/>
      <c r="IF817" s="8"/>
      <c r="IG817" s="8"/>
      <c r="IH817" s="8"/>
      <c r="II817" s="8"/>
      <c r="IJ817" s="8"/>
      <c r="IK817" s="8"/>
      <c r="IL817" s="8"/>
      <c r="IM817" s="8"/>
      <c r="IN817" s="8"/>
      <c r="IO817" s="8"/>
      <c r="IP817" s="8"/>
      <c r="IQ817" s="8"/>
      <c r="IR817" s="8"/>
      <c r="IS817" s="8"/>
      <c r="IT817" s="8"/>
      <c r="IU817" s="8"/>
      <c r="IV817" s="8"/>
    </row>
    <row r="818" ht="12.75" customHeight="1">
      <c r="A818" s="8"/>
      <c r="HT818" s="8"/>
      <c r="HU818" s="8"/>
      <c r="HV818" s="8"/>
      <c r="HW818" s="8"/>
      <c r="HX818" s="8"/>
      <c r="HY818" s="8"/>
      <c r="HZ818" s="8"/>
      <c r="IA818" s="8"/>
      <c r="IB818" s="8"/>
      <c r="IC818" s="8"/>
      <c r="ID818" s="8"/>
      <c r="IE818" s="8"/>
      <c r="IF818" s="8"/>
      <c r="IG818" s="8"/>
      <c r="IH818" s="8"/>
      <c r="II818" s="8"/>
      <c r="IJ818" s="8"/>
      <c r="IK818" s="8"/>
      <c r="IL818" s="8"/>
      <c r="IM818" s="8"/>
      <c r="IN818" s="8"/>
      <c r="IO818" s="8"/>
      <c r="IP818" s="8"/>
      <c r="IQ818" s="8"/>
      <c r="IR818" s="8"/>
      <c r="IS818" s="8"/>
      <c r="IT818" s="8"/>
      <c r="IU818" s="8"/>
      <c r="IV818" s="8"/>
    </row>
    <row r="819" ht="12.75" customHeight="1">
      <c r="A819" s="8"/>
      <c r="HT819" s="8"/>
      <c r="HU819" s="8"/>
      <c r="HV819" s="8"/>
      <c r="HW819" s="8"/>
      <c r="HX819" s="8"/>
      <c r="HY819" s="8"/>
      <c r="HZ819" s="8"/>
      <c r="IA819" s="8"/>
      <c r="IB819" s="8"/>
      <c r="IC819" s="8"/>
      <c r="ID819" s="8"/>
      <c r="IE819" s="8"/>
      <c r="IF819" s="8"/>
      <c r="IG819" s="8"/>
      <c r="IH819" s="8"/>
      <c r="II819" s="8"/>
      <c r="IJ819" s="8"/>
      <c r="IK819" s="8"/>
      <c r="IL819" s="8"/>
      <c r="IM819" s="8"/>
      <c r="IN819" s="8"/>
      <c r="IO819" s="8"/>
      <c r="IP819" s="8"/>
      <c r="IQ819" s="8"/>
      <c r="IR819" s="8"/>
      <c r="IS819" s="8"/>
      <c r="IT819" s="8"/>
      <c r="IU819" s="8"/>
      <c r="IV819" s="8"/>
    </row>
    <row r="820" ht="12.75" customHeight="1">
      <c r="A820" s="8"/>
      <c r="HT820" s="8"/>
      <c r="HU820" s="8"/>
      <c r="HV820" s="8"/>
      <c r="HW820" s="8"/>
      <c r="HX820" s="8"/>
      <c r="HY820" s="8"/>
      <c r="HZ820" s="8"/>
      <c r="IA820" s="8"/>
      <c r="IB820" s="8"/>
      <c r="IC820" s="8"/>
      <c r="ID820" s="8"/>
      <c r="IE820" s="8"/>
      <c r="IF820" s="8"/>
      <c r="IG820" s="8"/>
      <c r="IH820" s="8"/>
      <c r="II820" s="8"/>
      <c r="IJ820" s="8"/>
      <c r="IK820" s="8"/>
      <c r="IL820" s="8"/>
      <c r="IM820" s="8"/>
      <c r="IN820" s="8"/>
      <c r="IO820" s="8"/>
      <c r="IP820" s="8"/>
      <c r="IQ820" s="8"/>
      <c r="IR820" s="8"/>
      <c r="IS820" s="8"/>
      <c r="IT820" s="8"/>
      <c r="IU820" s="8"/>
      <c r="IV820" s="8"/>
    </row>
    <row r="821" ht="12.75" customHeight="1">
      <c r="A821" s="8"/>
      <c r="HT821" s="8"/>
      <c r="HU821" s="8"/>
      <c r="HV821" s="8"/>
      <c r="HW821" s="8"/>
      <c r="HX821" s="8"/>
      <c r="HY821" s="8"/>
      <c r="HZ821" s="8"/>
      <c r="IA821" s="8"/>
      <c r="IB821" s="8"/>
      <c r="IC821" s="8"/>
      <c r="ID821" s="8"/>
      <c r="IE821" s="8"/>
      <c r="IF821" s="8"/>
      <c r="IG821" s="8"/>
      <c r="IH821" s="8"/>
      <c r="II821" s="8"/>
      <c r="IJ821" s="8"/>
      <c r="IK821" s="8"/>
      <c r="IL821" s="8"/>
      <c r="IM821" s="8"/>
      <c r="IN821" s="8"/>
      <c r="IO821" s="8"/>
      <c r="IP821" s="8"/>
      <c r="IQ821" s="8"/>
      <c r="IR821" s="8"/>
      <c r="IS821" s="8"/>
      <c r="IT821" s="8"/>
      <c r="IU821" s="8"/>
      <c r="IV821" s="8"/>
    </row>
    <row r="822" ht="12.75" customHeight="1">
      <c r="A822" s="8"/>
      <c r="HT822" s="8"/>
      <c r="HU822" s="8"/>
      <c r="HV822" s="8"/>
      <c r="HW822" s="8"/>
      <c r="HX822" s="8"/>
      <c r="HY822" s="8"/>
      <c r="HZ822" s="8"/>
      <c r="IA822" s="8"/>
      <c r="IB822" s="8"/>
      <c r="IC822" s="8"/>
      <c r="ID822" s="8"/>
      <c r="IE822" s="8"/>
      <c r="IF822" s="8"/>
      <c r="IG822" s="8"/>
      <c r="IH822" s="8"/>
      <c r="II822" s="8"/>
      <c r="IJ822" s="8"/>
      <c r="IK822" s="8"/>
      <c r="IL822" s="8"/>
      <c r="IM822" s="8"/>
      <c r="IN822" s="8"/>
      <c r="IO822" s="8"/>
      <c r="IP822" s="8"/>
      <c r="IQ822" s="8"/>
      <c r="IR822" s="8"/>
      <c r="IS822" s="8"/>
      <c r="IT822" s="8"/>
      <c r="IU822" s="8"/>
      <c r="IV822" s="8"/>
    </row>
    <row r="823" ht="12.75" customHeight="1">
      <c r="A823" s="8"/>
      <c r="HT823" s="8"/>
      <c r="HU823" s="8"/>
      <c r="HV823" s="8"/>
      <c r="HW823" s="8"/>
      <c r="HX823" s="8"/>
      <c r="HY823" s="8"/>
      <c r="HZ823" s="8"/>
      <c r="IA823" s="8"/>
      <c r="IB823" s="8"/>
      <c r="IC823" s="8"/>
      <c r="ID823" s="8"/>
      <c r="IE823" s="8"/>
      <c r="IF823" s="8"/>
      <c r="IG823" s="8"/>
      <c r="IH823" s="8"/>
      <c r="II823" s="8"/>
      <c r="IJ823" s="8"/>
      <c r="IK823" s="8"/>
      <c r="IL823" s="8"/>
      <c r="IM823" s="8"/>
      <c r="IN823" s="8"/>
      <c r="IO823" s="8"/>
      <c r="IP823" s="8"/>
      <c r="IQ823" s="8"/>
      <c r="IR823" s="8"/>
      <c r="IS823" s="8"/>
      <c r="IT823" s="8"/>
      <c r="IU823" s="8"/>
      <c r="IV823" s="8"/>
    </row>
    <row r="824" ht="12.75" customHeight="1">
      <c r="A824" s="8"/>
      <c r="HT824" s="8"/>
      <c r="HU824" s="8"/>
      <c r="HV824" s="8"/>
      <c r="HW824" s="8"/>
      <c r="HX824" s="8"/>
      <c r="HY824" s="8"/>
      <c r="HZ824" s="8"/>
      <c r="IA824" s="8"/>
      <c r="IB824" s="8"/>
      <c r="IC824" s="8"/>
      <c r="ID824" s="8"/>
      <c r="IE824" s="8"/>
      <c r="IF824" s="8"/>
      <c r="IG824" s="8"/>
      <c r="IH824" s="8"/>
      <c r="II824" s="8"/>
      <c r="IJ824" s="8"/>
      <c r="IK824" s="8"/>
      <c r="IL824" s="8"/>
      <c r="IM824" s="8"/>
      <c r="IN824" s="8"/>
      <c r="IO824" s="8"/>
      <c r="IP824" s="8"/>
      <c r="IQ824" s="8"/>
      <c r="IR824" s="8"/>
      <c r="IS824" s="8"/>
      <c r="IT824" s="8"/>
      <c r="IU824" s="8"/>
      <c r="IV824" s="8"/>
    </row>
    <row r="825" ht="12.75" customHeight="1">
      <c r="A825" s="8"/>
      <c r="HT825" s="8"/>
      <c r="HU825" s="8"/>
      <c r="HV825" s="8"/>
      <c r="HW825" s="8"/>
      <c r="HX825" s="8"/>
      <c r="HY825" s="8"/>
      <c r="HZ825" s="8"/>
      <c r="IA825" s="8"/>
      <c r="IB825" s="8"/>
      <c r="IC825" s="8"/>
      <c r="ID825" s="8"/>
      <c r="IE825" s="8"/>
      <c r="IF825" s="8"/>
      <c r="IG825" s="8"/>
      <c r="IH825" s="8"/>
      <c r="II825" s="8"/>
      <c r="IJ825" s="8"/>
      <c r="IK825" s="8"/>
      <c r="IL825" s="8"/>
      <c r="IM825" s="8"/>
      <c r="IN825" s="8"/>
      <c r="IO825" s="8"/>
      <c r="IP825" s="8"/>
      <c r="IQ825" s="8"/>
      <c r="IR825" s="8"/>
      <c r="IS825" s="8"/>
      <c r="IT825" s="8"/>
      <c r="IU825" s="8"/>
      <c r="IV825" s="8"/>
    </row>
    <row r="826" ht="12.75" customHeight="1">
      <c r="A826" s="8"/>
      <c r="HT826" s="8"/>
      <c r="HU826" s="8"/>
      <c r="HV826" s="8"/>
      <c r="HW826" s="8"/>
      <c r="HX826" s="8"/>
      <c r="HY826" s="8"/>
      <c r="HZ826" s="8"/>
      <c r="IA826" s="8"/>
      <c r="IB826" s="8"/>
      <c r="IC826" s="8"/>
      <c r="ID826" s="8"/>
      <c r="IE826" s="8"/>
      <c r="IF826" s="8"/>
      <c r="IG826" s="8"/>
      <c r="IH826" s="8"/>
      <c r="II826" s="8"/>
      <c r="IJ826" s="8"/>
      <c r="IK826" s="8"/>
      <c r="IL826" s="8"/>
      <c r="IM826" s="8"/>
      <c r="IN826" s="8"/>
      <c r="IO826" s="8"/>
      <c r="IP826" s="8"/>
      <c r="IQ826" s="8"/>
      <c r="IR826" s="8"/>
      <c r="IS826" s="8"/>
      <c r="IT826" s="8"/>
      <c r="IU826" s="8"/>
      <c r="IV826" s="8"/>
    </row>
    <row r="827" ht="12.75" customHeight="1">
      <c r="A827" s="8"/>
      <c r="HT827" s="8"/>
      <c r="HU827" s="8"/>
      <c r="HV827" s="8"/>
      <c r="HW827" s="8"/>
      <c r="HX827" s="8"/>
      <c r="HY827" s="8"/>
      <c r="HZ827" s="8"/>
      <c r="IA827" s="8"/>
      <c r="IB827" s="8"/>
      <c r="IC827" s="8"/>
      <c r="ID827" s="8"/>
      <c r="IE827" s="8"/>
      <c r="IF827" s="8"/>
      <c r="IG827" s="8"/>
      <c r="IH827" s="8"/>
      <c r="II827" s="8"/>
      <c r="IJ827" s="8"/>
      <c r="IK827" s="8"/>
      <c r="IL827" s="8"/>
      <c r="IM827" s="8"/>
      <c r="IN827" s="8"/>
      <c r="IO827" s="8"/>
      <c r="IP827" s="8"/>
      <c r="IQ827" s="8"/>
      <c r="IR827" s="8"/>
      <c r="IS827" s="8"/>
      <c r="IT827" s="8"/>
      <c r="IU827" s="8"/>
      <c r="IV827" s="8"/>
    </row>
    <row r="828" ht="12.75" customHeight="1">
      <c r="A828" s="8"/>
      <c r="HT828" s="8"/>
      <c r="HU828" s="8"/>
      <c r="HV828" s="8"/>
      <c r="HW828" s="8"/>
      <c r="HX828" s="8"/>
      <c r="HY828" s="8"/>
      <c r="HZ828" s="8"/>
      <c r="IA828" s="8"/>
      <c r="IB828" s="8"/>
      <c r="IC828" s="8"/>
      <c r="ID828" s="8"/>
      <c r="IE828" s="8"/>
      <c r="IF828" s="8"/>
      <c r="IG828" s="8"/>
      <c r="IH828" s="8"/>
      <c r="II828" s="8"/>
      <c r="IJ828" s="8"/>
      <c r="IK828" s="8"/>
      <c r="IL828" s="8"/>
      <c r="IM828" s="8"/>
      <c r="IN828" s="8"/>
      <c r="IO828" s="8"/>
      <c r="IP828" s="8"/>
      <c r="IQ828" s="8"/>
      <c r="IR828" s="8"/>
      <c r="IS828" s="8"/>
      <c r="IT828" s="8"/>
      <c r="IU828" s="8"/>
      <c r="IV828" s="8"/>
    </row>
    <row r="829" ht="12.75" customHeight="1">
      <c r="A829" s="8"/>
      <c r="HT829" s="8"/>
      <c r="HU829" s="8"/>
      <c r="HV829" s="8"/>
      <c r="HW829" s="8"/>
      <c r="HX829" s="8"/>
      <c r="HY829" s="8"/>
      <c r="HZ829" s="8"/>
      <c r="IA829" s="8"/>
      <c r="IB829" s="8"/>
      <c r="IC829" s="8"/>
      <c r="ID829" s="8"/>
      <c r="IE829" s="8"/>
      <c r="IF829" s="8"/>
      <c r="IG829" s="8"/>
      <c r="IH829" s="8"/>
      <c r="II829" s="8"/>
      <c r="IJ829" s="8"/>
      <c r="IK829" s="8"/>
      <c r="IL829" s="8"/>
      <c r="IM829" s="8"/>
      <c r="IN829" s="8"/>
      <c r="IO829" s="8"/>
      <c r="IP829" s="8"/>
      <c r="IQ829" s="8"/>
      <c r="IR829" s="8"/>
      <c r="IS829" s="8"/>
      <c r="IT829" s="8"/>
      <c r="IU829" s="8"/>
      <c r="IV829" s="8"/>
    </row>
    <row r="830" ht="12.75" customHeight="1">
      <c r="A830" s="8"/>
      <c r="HT830" s="8"/>
      <c r="HU830" s="8"/>
      <c r="HV830" s="8"/>
      <c r="HW830" s="8"/>
      <c r="HX830" s="8"/>
      <c r="HY830" s="8"/>
      <c r="HZ830" s="8"/>
      <c r="IA830" s="8"/>
      <c r="IB830" s="8"/>
      <c r="IC830" s="8"/>
      <c r="ID830" s="8"/>
      <c r="IE830" s="8"/>
      <c r="IF830" s="8"/>
      <c r="IG830" s="8"/>
      <c r="IH830" s="8"/>
      <c r="II830" s="8"/>
      <c r="IJ830" s="8"/>
      <c r="IK830" s="8"/>
      <c r="IL830" s="8"/>
      <c r="IM830" s="8"/>
      <c r="IN830" s="8"/>
      <c r="IO830" s="8"/>
      <c r="IP830" s="8"/>
      <c r="IQ830" s="8"/>
      <c r="IR830" s="8"/>
      <c r="IS830" s="8"/>
      <c r="IT830" s="8"/>
      <c r="IU830" s="8"/>
      <c r="IV830" s="8"/>
    </row>
    <row r="831" ht="12.75" customHeight="1">
      <c r="A831" s="8"/>
      <c r="HT831" s="8"/>
      <c r="HU831" s="8"/>
      <c r="HV831" s="8"/>
      <c r="HW831" s="8"/>
      <c r="HX831" s="8"/>
      <c r="HY831" s="8"/>
      <c r="HZ831" s="8"/>
      <c r="IA831" s="8"/>
      <c r="IB831" s="8"/>
      <c r="IC831" s="8"/>
      <c r="ID831" s="8"/>
      <c r="IE831" s="8"/>
      <c r="IF831" s="8"/>
      <c r="IG831" s="8"/>
      <c r="IH831" s="8"/>
      <c r="II831" s="8"/>
      <c r="IJ831" s="8"/>
      <c r="IK831" s="8"/>
      <c r="IL831" s="8"/>
      <c r="IM831" s="8"/>
      <c r="IN831" s="8"/>
      <c r="IO831" s="8"/>
      <c r="IP831" s="8"/>
      <c r="IQ831" s="8"/>
      <c r="IR831" s="8"/>
      <c r="IS831" s="8"/>
      <c r="IT831" s="8"/>
      <c r="IU831" s="8"/>
      <c r="IV831" s="8"/>
    </row>
    <row r="832" ht="12.75" customHeight="1">
      <c r="A832" s="8"/>
      <c r="HT832" s="8"/>
      <c r="HU832" s="8"/>
      <c r="HV832" s="8"/>
      <c r="HW832" s="8"/>
      <c r="HX832" s="8"/>
      <c r="HY832" s="8"/>
      <c r="HZ832" s="8"/>
      <c r="IA832" s="8"/>
      <c r="IB832" s="8"/>
      <c r="IC832" s="8"/>
      <c r="ID832" s="8"/>
      <c r="IE832" s="8"/>
      <c r="IF832" s="8"/>
      <c r="IG832" s="8"/>
      <c r="IH832" s="8"/>
      <c r="II832" s="8"/>
      <c r="IJ832" s="8"/>
      <c r="IK832" s="8"/>
      <c r="IL832" s="8"/>
      <c r="IM832" s="8"/>
      <c r="IN832" s="8"/>
      <c r="IO832" s="8"/>
      <c r="IP832" s="8"/>
      <c r="IQ832" s="8"/>
      <c r="IR832" s="8"/>
      <c r="IS832" s="8"/>
      <c r="IT832" s="8"/>
      <c r="IU832" s="8"/>
      <c r="IV832" s="8"/>
    </row>
    <row r="833" ht="12.75" customHeight="1">
      <c r="A833" s="8"/>
      <c r="HT833" s="8"/>
      <c r="HU833" s="8"/>
      <c r="HV833" s="8"/>
      <c r="HW833" s="8"/>
      <c r="HX833" s="8"/>
      <c r="HY833" s="8"/>
      <c r="HZ833" s="8"/>
      <c r="IA833" s="8"/>
      <c r="IB833" s="8"/>
      <c r="IC833" s="8"/>
      <c r="ID833" s="8"/>
      <c r="IE833" s="8"/>
      <c r="IF833" s="8"/>
      <c r="IG833" s="8"/>
      <c r="IH833" s="8"/>
      <c r="II833" s="8"/>
      <c r="IJ833" s="8"/>
      <c r="IK833" s="8"/>
      <c r="IL833" s="8"/>
      <c r="IM833" s="8"/>
      <c r="IN833" s="8"/>
      <c r="IO833" s="8"/>
      <c r="IP833" s="8"/>
      <c r="IQ833" s="8"/>
      <c r="IR833" s="8"/>
      <c r="IS833" s="8"/>
      <c r="IT833" s="8"/>
      <c r="IU833" s="8"/>
      <c r="IV833" s="8"/>
    </row>
    <row r="834" ht="12.75" customHeight="1">
      <c r="A834" s="8"/>
      <c r="HT834" s="8"/>
      <c r="HU834" s="8"/>
      <c r="HV834" s="8"/>
      <c r="HW834" s="8"/>
      <c r="HX834" s="8"/>
      <c r="HY834" s="8"/>
      <c r="HZ834" s="8"/>
      <c r="IA834" s="8"/>
      <c r="IB834" s="8"/>
      <c r="IC834" s="8"/>
      <c r="ID834" s="8"/>
      <c r="IE834" s="8"/>
      <c r="IF834" s="8"/>
      <c r="IG834" s="8"/>
      <c r="IH834" s="8"/>
      <c r="II834" s="8"/>
      <c r="IJ834" s="8"/>
      <c r="IK834" s="8"/>
      <c r="IL834" s="8"/>
      <c r="IM834" s="8"/>
      <c r="IN834" s="8"/>
      <c r="IO834" s="8"/>
      <c r="IP834" s="8"/>
      <c r="IQ834" s="8"/>
      <c r="IR834" s="8"/>
      <c r="IS834" s="8"/>
      <c r="IT834" s="8"/>
      <c r="IU834" s="8"/>
      <c r="IV834" s="8"/>
    </row>
    <row r="835" ht="12.75" customHeight="1">
      <c r="A835" s="8"/>
      <c r="HT835" s="8"/>
      <c r="HU835" s="8"/>
      <c r="HV835" s="8"/>
      <c r="HW835" s="8"/>
      <c r="HX835" s="8"/>
      <c r="HY835" s="8"/>
      <c r="HZ835" s="8"/>
      <c r="IA835" s="8"/>
      <c r="IB835" s="8"/>
      <c r="IC835" s="8"/>
      <c r="ID835" s="8"/>
      <c r="IE835" s="8"/>
      <c r="IF835" s="8"/>
      <c r="IG835" s="8"/>
      <c r="IH835" s="8"/>
      <c r="II835" s="8"/>
      <c r="IJ835" s="8"/>
      <c r="IK835" s="8"/>
      <c r="IL835" s="8"/>
      <c r="IM835" s="8"/>
      <c r="IN835" s="8"/>
      <c r="IO835" s="8"/>
      <c r="IP835" s="8"/>
      <c r="IQ835" s="8"/>
      <c r="IR835" s="8"/>
      <c r="IS835" s="8"/>
      <c r="IT835" s="8"/>
      <c r="IU835" s="8"/>
      <c r="IV835" s="8"/>
    </row>
    <row r="836" ht="12.75" customHeight="1">
      <c r="A836" s="8"/>
      <c r="HT836" s="8"/>
      <c r="HU836" s="8"/>
      <c r="HV836" s="8"/>
      <c r="HW836" s="8"/>
      <c r="HX836" s="8"/>
      <c r="HY836" s="8"/>
      <c r="HZ836" s="8"/>
      <c r="IA836" s="8"/>
      <c r="IB836" s="8"/>
      <c r="IC836" s="8"/>
      <c r="ID836" s="8"/>
      <c r="IE836" s="8"/>
      <c r="IF836" s="8"/>
      <c r="IG836" s="8"/>
      <c r="IH836" s="8"/>
      <c r="II836" s="8"/>
      <c r="IJ836" s="8"/>
      <c r="IK836" s="8"/>
      <c r="IL836" s="8"/>
      <c r="IM836" s="8"/>
      <c r="IN836" s="8"/>
      <c r="IO836" s="8"/>
      <c r="IP836" s="8"/>
      <c r="IQ836" s="8"/>
      <c r="IR836" s="8"/>
      <c r="IS836" s="8"/>
      <c r="IT836" s="8"/>
      <c r="IU836" s="8"/>
      <c r="IV836" s="8"/>
    </row>
    <row r="837" ht="12.75" customHeight="1">
      <c r="A837" s="8"/>
      <c r="HT837" s="8"/>
      <c r="HU837" s="8"/>
      <c r="HV837" s="8"/>
      <c r="HW837" s="8"/>
      <c r="HX837" s="8"/>
      <c r="HY837" s="8"/>
      <c r="HZ837" s="8"/>
      <c r="IA837" s="8"/>
      <c r="IB837" s="8"/>
      <c r="IC837" s="8"/>
      <c r="ID837" s="8"/>
      <c r="IE837" s="8"/>
      <c r="IF837" s="8"/>
      <c r="IG837" s="8"/>
      <c r="IH837" s="8"/>
      <c r="II837" s="8"/>
      <c r="IJ837" s="8"/>
      <c r="IK837" s="8"/>
      <c r="IL837" s="8"/>
      <c r="IM837" s="8"/>
      <c r="IN837" s="8"/>
      <c r="IO837" s="8"/>
      <c r="IP837" s="8"/>
      <c r="IQ837" s="8"/>
      <c r="IR837" s="8"/>
      <c r="IS837" s="8"/>
      <c r="IT837" s="8"/>
      <c r="IU837" s="8"/>
      <c r="IV837" s="8"/>
    </row>
    <row r="838" ht="12.75" customHeight="1">
      <c r="A838" s="8"/>
      <c r="HT838" s="8"/>
      <c r="HU838" s="8"/>
      <c r="HV838" s="8"/>
      <c r="HW838" s="8"/>
      <c r="HX838" s="8"/>
      <c r="HY838" s="8"/>
      <c r="HZ838" s="8"/>
      <c r="IA838" s="8"/>
      <c r="IB838" s="8"/>
      <c r="IC838" s="8"/>
      <c r="ID838" s="8"/>
      <c r="IE838" s="8"/>
      <c r="IF838" s="8"/>
      <c r="IG838" s="8"/>
      <c r="IH838" s="8"/>
      <c r="II838" s="8"/>
      <c r="IJ838" s="8"/>
      <c r="IK838" s="8"/>
      <c r="IL838" s="8"/>
      <c r="IM838" s="8"/>
      <c r="IN838" s="8"/>
      <c r="IO838" s="8"/>
      <c r="IP838" s="8"/>
      <c r="IQ838" s="8"/>
      <c r="IR838" s="8"/>
      <c r="IS838" s="8"/>
      <c r="IT838" s="8"/>
      <c r="IU838" s="8"/>
      <c r="IV838" s="8"/>
    </row>
    <row r="839" ht="12.75" customHeight="1">
      <c r="A839" s="8"/>
      <c r="HT839" s="8"/>
      <c r="HU839" s="8"/>
      <c r="HV839" s="8"/>
      <c r="HW839" s="8"/>
      <c r="HX839" s="8"/>
      <c r="HY839" s="8"/>
      <c r="HZ839" s="8"/>
      <c r="IA839" s="8"/>
      <c r="IB839" s="8"/>
      <c r="IC839" s="8"/>
      <c r="ID839" s="8"/>
      <c r="IE839" s="8"/>
      <c r="IF839" s="8"/>
      <c r="IG839" s="8"/>
      <c r="IH839" s="8"/>
      <c r="II839" s="8"/>
      <c r="IJ839" s="8"/>
      <c r="IK839" s="8"/>
      <c r="IL839" s="8"/>
      <c r="IM839" s="8"/>
      <c r="IN839" s="8"/>
      <c r="IO839" s="8"/>
      <c r="IP839" s="8"/>
      <c r="IQ839" s="8"/>
      <c r="IR839" s="8"/>
      <c r="IS839" s="8"/>
      <c r="IT839" s="8"/>
      <c r="IU839" s="8"/>
      <c r="IV839" s="8"/>
    </row>
    <row r="840" ht="12.75" customHeight="1">
      <c r="A840" s="8"/>
      <c r="HT840" s="8"/>
      <c r="HU840" s="8"/>
      <c r="HV840" s="8"/>
      <c r="HW840" s="8"/>
      <c r="HX840" s="8"/>
      <c r="HY840" s="8"/>
      <c r="HZ840" s="8"/>
      <c r="IA840" s="8"/>
      <c r="IB840" s="8"/>
      <c r="IC840" s="8"/>
      <c r="ID840" s="8"/>
      <c r="IE840" s="8"/>
      <c r="IF840" s="8"/>
      <c r="IG840" s="8"/>
      <c r="IH840" s="8"/>
      <c r="II840" s="8"/>
      <c r="IJ840" s="8"/>
      <c r="IK840" s="8"/>
      <c r="IL840" s="8"/>
      <c r="IM840" s="8"/>
      <c r="IN840" s="8"/>
      <c r="IO840" s="8"/>
      <c r="IP840" s="8"/>
      <c r="IQ840" s="8"/>
      <c r="IR840" s="8"/>
      <c r="IS840" s="8"/>
      <c r="IT840" s="8"/>
      <c r="IU840" s="8"/>
      <c r="IV840" s="8"/>
    </row>
    <row r="841" ht="12.75" customHeight="1">
      <c r="A841" s="8"/>
      <c r="HT841" s="8"/>
      <c r="HU841" s="8"/>
      <c r="HV841" s="8"/>
      <c r="HW841" s="8"/>
      <c r="HX841" s="8"/>
      <c r="HY841" s="8"/>
      <c r="HZ841" s="8"/>
      <c r="IA841" s="8"/>
      <c r="IB841" s="8"/>
      <c r="IC841" s="8"/>
      <c r="ID841" s="8"/>
      <c r="IE841" s="8"/>
      <c r="IF841" s="8"/>
      <c r="IG841" s="8"/>
      <c r="IH841" s="8"/>
      <c r="II841" s="8"/>
      <c r="IJ841" s="8"/>
      <c r="IK841" s="8"/>
      <c r="IL841" s="8"/>
      <c r="IM841" s="8"/>
      <c r="IN841" s="8"/>
      <c r="IO841" s="8"/>
      <c r="IP841" s="8"/>
      <c r="IQ841" s="8"/>
      <c r="IR841" s="8"/>
      <c r="IS841" s="8"/>
      <c r="IT841" s="8"/>
      <c r="IU841" s="8"/>
      <c r="IV841" s="8"/>
    </row>
    <row r="842" ht="12.75" customHeight="1">
      <c r="A842" s="8"/>
      <c r="HT842" s="8"/>
      <c r="HU842" s="8"/>
      <c r="HV842" s="8"/>
      <c r="HW842" s="8"/>
      <c r="HX842" s="8"/>
      <c r="HY842" s="8"/>
      <c r="HZ842" s="8"/>
      <c r="IA842" s="8"/>
      <c r="IB842" s="8"/>
      <c r="IC842" s="8"/>
      <c r="ID842" s="8"/>
      <c r="IE842" s="8"/>
      <c r="IF842" s="8"/>
      <c r="IG842" s="8"/>
      <c r="IH842" s="8"/>
      <c r="II842" s="8"/>
      <c r="IJ842" s="8"/>
      <c r="IK842" s="8"/>
      <c r="IL842" s="8"/>
      <c r="IM842" s="8"/>
      <c r="IN842" s="8"/>
      <c r="IO842" s="8"/>
      <c r="IP842" s="8"/>
      <c r="IQ842" s="8"/>
      <c r="IR842" s="8"/>
      <c r="IS842" s="8"/>
      <c r="IT842" s="8"/>
      <c r="IU842" s="8"/>
      <c r="IV842" s="8"/>
    </row>
    <row r="843" ht="12.75" customHeight="1">
      <c r="A843" s="8"/>
      <c r="HT843" s="8"/>
      <c r="HU843" s="8"/>
      <c r="HV843" s="8"/>
      <c r="HW843" s="8"/>
      <c r="HX843" s="8"/>
      <c r="HY843" s="8"/>
      <c r="HZ843" s="8"/>
      <c r="IA843" s="8"/>
      <c r="IB843" s="8"/>
      <c r="IC843" s="8"/>
      <c r="ID843" s="8"/>
      <c r="IE843" s="8"/>
      <c r="IF843" s="8"/>
      <c r="IG843" s="8"/>
      <c r="IH843" s="8"/>
      <c r="II843" s="8"/>
      <c r="IJ843" s="8"/>
      <c r="IK843" s="8"/>
      <c r="IL843" s="8"/>
      <c r="IM843" s="8"/>
      <c r="IN843" s="8"/>
      <c r="IO843" s="8"/>
      <c r="IP843" s="8"/>
      <c r="IQ843" s="8"/>
      <c r="IR843" s="8"/>
      <c r="IS843" s="8"/>
      <c r="IT843" s="8"/>
      <c r="IU843" s="8"/>
      <c r="IV843" s="8"/>
    </row>
    <row r="844" ht="12.75" customHeight="1">
      <c r="A844" s="8"/>
      <c r="HT844" s="8"/>
      <c r="HU844" s="8"/>
      <c r="HV844" s="8"/>
      <c r="HW844" s="8"/>
      <c r="HX844" s="8"/>
      <c r="HY844" s="8"/>
      <c r="HZ844" s="8"/>
      <c r="IA844" s="8"/>
      <c r="IB844" s="8"/>
      <c r="IC844" s="8"/>
      <c r="ID844" s="8"/>
      <c r="IE844" s="8"/>
      <c r="IF844" s="8"/>
      <c r="IG844" s="8"/>
      <c r="IH844" s="8"/>
      <c r="II844" s="8"/>
      <c r="IJ844" s="8"/>
      <c r="IK844" s="8"/>
      <c r="IL844" s="8"/>
      <c r="IM844" s="8"/>
      <c r="IN844" s="8"/>
      <c r="IO844" s="8"/>
      <c r="IP844" s="8"/>
      <c r="IQ844" s="8"/>
      <c r="IR844" s="8"/>
      <c r="IS844" s="8"/>
      <c r="IT844" s="8"/>
      <c r="IU844" s="8"/>
      <c r="IV844" s="8"/>
    </row>
    <row r="845" ht="12.75" customHeight="1">
      <c r="A845" s="8"/>
      <c r="HT845" s="8"/>
      <c r="HU845" s="8"/>
      <c r="HV845" s="8"/>
      <c r="HW845" s="8"/>
      <c r="HX845" s="8"/>
      <c r="HY845" s="8"/>
      <c r="HZ845" s="8"/>
      <c r="IA845" s="8"/>
      <c r="IB845" s="8"/>
      <c r="IC845" s="8"/>
      <c r="ID845" s="8"/>
      <c r="IE845" s="8"/>
      <c r="IF845" s="8"/>
      <c r="IG845" s="8"/>
      <c r="IH845" s="8"/>
      <c r="II845" s="8"/>
      <c r="IJ845" s="8"/>
      <c r="IK845" s="8"/>
      <c r="IL845" s="8"/>
      <c r="IM845" s="8"/>
      <c r="IN845" s="8"/>
      <c r="IO845" s="8"/>
      <c r="IP845" s="8"/>
      <c r="IQ845" s="8"/>
      <c r="IR845" s="8"/>
      <c r="IS845" s="8"/>
      <c r="IT845" s="8"/>
      <c r="IU845" s="8"/>
      <c r="IV845" s="8"/>
    </row>
    <row r="846" ht="12.75" customHeight="1">
      <c r="A846" s="8"/>
      <c r="HT846" s="8"/>
      <c r="HU846" s="8"/>
      <c r="HV846" s="8"/>
      <c r="HW846" s="8"/>
      <c r="HX846" s="8"/>
      <c r="HY846" s="8"/>
      <c r="HZ846" s="8"/>
      <c r="IA846" s="8"/>
      <c r="IB846" s="8"/>
      <c r="IC846" s="8"/>
      <c r="ID846" s="8"/>
      <c r="IE846" s="8"/>
      <c r="IF846" s="8"/>
      <c r="IG846" s="8"/>
      <c r="IH846" s="8"/>
      <c r="II846" s="8"/>
      <c r="IJ846" s="8"/>
      <c r="IK846" s="8"/>
      <c r="IL846" s="8"/>
      <c r="IM846" s="8"/>
      <c r="IN846" s="8"/>
      <c r="IO846" s="8"/>
      <c r="IP846" s="8"/>
      <c r="IQ846" s="8"/>
      <c r="IR846" s="8"/>
      <c r="IS846" s="8"/>
      <c r="IT846" s="8"/>
      <c r="IU846" s="8"/>
      <c r="IV846" s="8"/>
    </row>
    <row r="847" ht="12.75" customHeight="1">
      <c r="A847" s="8"/>
      <c r="HT847" s="8"/>
      <c r="HU847" s="8"/>
      <c r="HV847" s="8"/>
      <c r="HW847" s="8"/>
      <c r="HX847" s="8"/>
      <c r="HY847" s="8"/>
      <c r="HZ847" s="8"/>
      <c r="IA847" s="8"/>
      <c r="IB847" s="8"/>
      <c r="IC847" s="8"/>
      <c r="ID847" s="8"/>
      <c r="IE847" s="8"/>
      <c r="IF847" s="8"/>
      <c r="IG847" s="8"/>
      <c r="IH847" s="8"/>
      <c r="II847" s="8"/>
      <c r="IJ847" s="8"/>
      <c r="IK847" s="8"/>
      <c r="IL847" s="8"/>
      <c r="IM847" s="8"/>
      <c r="IN847" s="8"/>
      <c r="IO847" s="8"/>
      <c r="IP847" s="8"/>
      <c r="IQ847" s="8"/>
      <c r="IR847" s="8"/>
      <c r="IS847" s="8"/>
      <c r="IT847" s="8"/>
      <c r="IU847" s="8"/>
      <c r="IV847" s="8"/>
    </row>
    <row r="848" ht="12.75" customHeight="1">
      <c r="A848" s="8"/>
      <c r="HT848" s="8"/>
      <c r="HU848" s="8"/>
      <c r="HV848" s="8"/>
      <c r="HW848" s="8"/>
      <c r="HX848" s="8"/>
      <c r="HY848" s="8"/>
      <c r="HZ848" s="8"/>
      <c r="IA848" s="8"/>
      <c r="IB848" s="8"/>
      <c r="IC848" s="8"/>
      <c r="ID848" s="8"/>
      <c r="IE848" s="8"/>
      <c r="IF848" s="8"/>
      <c r="IG848" s="8"/>
      <c r="IH848" s="8"/>
      <c r="II848" s="8"/>
      <c r="IJ848" s="8"/>
      <c r="IK848" s="8"/>
      <c r="IL848" s="8"/>
      <c r="IM848" s="8"/>
      <c r="IN848" s="8"/>
      <c r="IO848" s="8"/>
      <c r="IP848" s="8"/>
      <c r="IQ848" s="8"/>
      <c r="IR848" s="8"/>
      <c r="IS848" s="8"/>
      <c r="IT848" s="8"/>
      <c r="IU848" s="8"/>
      <c r="IV848" s="8"/>
    </row>
    <row r="849" ht="12.75" customHeight="1">
      <c r="A849" s="8"/>
      <c r="HT849" s="8"/>
      <c r="HU849" s="8"/>
      <c r="HV849" s="8"/>
      <c r="HW849" s="8"/>
      <c r="HX849" s="8"/>
      <c r="HY849" s="8"/>
      <c r="HZ849" s="8"/>
      <c r="IA849" s="8"/>
      <c r="IB849" s="8"/>
      <c r="IC849" s="8"/>
      <c r="ID849" s="8"/>
      <c r="IE849" s="8"/>
      <c r="IF849" s="8"/>
      <c r="IG849" s="8"/>
      <c r="IH849" s="8"/>
      <c r="II849" s="8"/>
      <c r="IJ849" s="8"/>
      <c r="IK849" s="8"/>
      <c r="IL849" s="8"/>
      <c r="IM849" s="8"/>
      <c r="IN849" s="8"/>
      <c r="IO849" s="8"/>
      <c r="IP849" s="8"/>
      <c r="IQ849" s="8"/>
      <c r="IR849" s="8"/>
      <c r="IS849" s="8"/>
      <c r="IT849" s="8"/>
      <c r="IU849" s="8"/>
      <c r="IV849" s="8"/>
    </row>
    <row r="850" ht="12.75" customHeight="1">
      <c r="A850" s="8"/>
      <c r="HT850" s="8"/>
      <c r="HU850" s="8"/>
      <c r="HV850" s="8"/>
      <c r="HW850" s="8"/>
      <c r="HX850" s="8"/>
      <c r="HY850" s="8"/>
      <c r="HZ850" s="8"/>
      <c r="IA850" s="8"/>
      <c r="IB850" s="8"/>
      <c r="IC850" s="8"/>
      <c r="ID850" s="8"/>
      <c r="IE850" s="8"/>
      <c r="IF850" s="8"/>
      <c r="IG850" s="8"/>
      <c r="IH850" s="8"/>
      <c r="II850" s="8"/>
      <c r="IJ850" s="8"/>
      <c r="IK850" s="8"/>
      <c r="IL850" s="8"/>
      <c r="IM850" s="8"/>
      <c r="IN850" s="8"/>
      <c r="IO850" s="8"/>
      <c r="IP850" s="8"/>
      <c r="IQ850" s="8"/>
      <c r="IR850" s="8"/>
      <c r="IS850" s="8"/>
      <c r="IT850" s="8"/>
      <c r="IU850" s="8"/>
      <c r="IV850" s="8"/>
    </row>
    <row r="851" ht="12.75" customHeight="1">
      <c r="A851" s="8"/>
      <c r="HT851" s="8"/>
      <c r="HU851" s="8"/>
      <c r="HV851" s="8"/>
      <c r="HW851" s="8"/>
      <c r="HX851" s="8"/>
      <c r="HY851" s="8"/>
      <c r="HZ851" s="8"/>
      <c r="IA851" s="8"/>
      <c r="IB851" s="8"/>
      <c r="IC851" s="8"/>
      <c r="ID851" s="8"/>
      <c r="IE851" s="8"/>
      <c r="IF851" s="8"/>
      <c r="IG851" s="8"/>
      <c r="IH851" s="8"/>
      <c r="II851" s="8"/>
      <c r="IJ851" s="8"/>
      <c r="IK851" s="8"/>
      <c r="IL851" s="8"/>
      <c r="IM851" s="8"/>
      <c r="IN851" s="8"/>
      <c r="IO851" s="8"/>
      <c r="IP851" s="8"/>
      <c r="IQ851" s="8"/>
      <c r="IR851" s="8"/>
      <c r="IS851" s="8"/>
      <c r="IT851" s="8"/>
      <c r="IU851" s="8"/>
      <c r="IV851" s="8"/>
    </row>
    <row r="852" ht="12.75" customHeight="1">
      <c r="A852" s="8"/>
      <c r="HT852" s="8"/>
      <c r="HU852" s="8"/>
      <c r="HV852" s="8"/>
      <c r="HW852" s="8"/>
      <c r="HX852" s="8"/>
      <c r="HY852" s="8"/>
      <c r="HZ852" s="8"/>
      <c r="IA852" s="8"/>
      <c r="IB852" s="8"/>
      <c r="IC852" s="8"/>
      <c r="ID852" s="8"/>
      <c r="IE852" s="8"/>
      <c r="IF852" s="8"/>
      <c r="IG852" s="8"/>
      <c r="IH852" s="8"/>
      <c r="II852" s="8"/>
      <c r="IJ852" s="8"/>
      <c r="IK852" s="8"/>
      <c r="IL852" s="8"/>
      <c r="IM852" s="8"/>
      <c r="IN852" s="8"/>
      <c r="IO852" s="8"/>
      <c r="IP852" s="8"/>
      <c r="IQ852" s="8"/>
      <c r="IR852" s="8"/>
      <c r="IS852" s="8"/>
      <c r="IT852" s="8"/>
      <c r="IU852" s="8"/>
      <c r="IV852" s="8"/>
    </row>
    <row r="853" ht="12.75" customHeight="1">
      <c r="A853" s="8"/>
      <c r="HT853" s="8"/>
      <c r="HU853" s="8"/>
      <c r="HV853" s="8"/>
      <c r="HW853" s="8"/>
      <c r="HX853" s="8"/>
      <c r="HY853" s="8"/>
      <c r="HZ853" s="8"/>
      <c r="IA853" s="8"/>
      <c r="IB853" s="8"/>
      <c r="IC853" s="8"/>
      <c r="ID853" s="8"/>
      <c r="IE853" s="8"/>
      <c r="IF853" s="8"/>
      <c r="IG853" s="8"/>
      <c r="IH853" s="8"/>
      <c r="II853" s="8"/>
      <c r="IJ853" s="8"/>
      <c r="IK853" s="8"/>
      <c r="IL853" s="8"/>
      <c r="IM853" s="8"/>
      <c r="IN853" s="8"/>
      <c r="IO853" s="8"/>
      <c r="IP853" s="8"/>
      <c r="IQ853" s="8"/>
      <c r="IR853" s="8"/>
      <c r="IS853" s="8"/>
      <c r="IT853" s="8"/>
      <c r="IU853" s="8"/>
      <c r="IV853" s="8"/>
    </row>
    <row r="854" ht="12.75" customHeight="1">
      <c r="A854" s="8"/>
      <c r="HT854" s="8"/>
      <c r="HU854" s="8"/>
      <c r="HV854" s="8"/>
      <c r="HW854" s="8"/>
      <c r="HX854" s="8"/>
      <c r="HY854" s="8"/>
      <c r="HZ854" s="8"/>
      <c r="IA854" s="8"/>
      <c r="IB854" s="8"/>
      <c r="IC854" s="8"/>
      <c r="ID854" s="8"/>
      <c r="IE854" s="8"/>
      <c r="IF854" s="8"/>
      <c r="IG854" s="8"/>
      <c r="IH854" s="8"/>
      <c r="II854" s="8"/>
      <c r="IJ854" s="8"/>
      <c r="IK854" s="8"/>
      <c r="IL854" s="8"/>
      <c r="IM854" s="8"/>
      <c r="IN854" s="8"/>
      <c r="IO854" s="8"/>
      <c r="IP854" s="8"/>
      <c r="IQ854" s="8"/>
      <c r="IR854" s="8"/>
      <c r="IS854" s="8"/>
      <c r="IT854" s="8"/>
      <c r="IU854" s="8"/>
      <c r="IV854" s="8"/>
    </row>
    <row r="855" ht="12.75" customHeight="1">
      <c r="A855" s="8"/>
      <c r="HT855" s="8"/>
      <c r="HU855" s="8"/>
      <c r="HV855" s="8"/>
      <c r="HW855" s="8"/>
      <c r="HX855" s="8"/>
      <c r="HY855" s="8"/>
      <c r="HZ855" s="8"/>
      <c r="IA855" s="8"/>
      <c r="IB855" s="8"/>
      <c r="IC855" s="8"/>
      <c r="ID855" s="8"/>
      <c r="IE855" s="8"/>
      <c r="IF855" s="8"/>
      <c r="IG855" s="8"/>
      <c r="IH855" s="8"/>
      <c r="II855" s="8"/>
      <c r="IJ855" s="8"/>
      <c r="IK855" s="8"/>
      <c r="IL855" s="8"/>
      <c r="IM855" s="8"/>
      <c r="IN855" s="8"/>
      <c r="IO855" s="8"/>
      <c r="IP855" s="8"/>
      <c r="IQ855" s="8"/>
      <c r="IR855" s="8"/>
      <c r="IS855" s="8"/>
      <c r="IT855" s="8"/>
      <c r="IU855" s="8"/>
      <c r="IV855" s="8"/>
    </row>
    <row r="856" ht="12.75" customHeight="1">
      <c r="A856" s="8"/>
      <c r="HT856" s="8"/>
      <c r="HU856" s="8"/>
      <c r="HV856" s="8"/>
      <c r="HW856" s="8"/>
      <c r="HX856" s="8"/>
      <c r="HY856" s="8"/>
      <c r="HZ856" s="8"/>
      <c r="IA856" s="8"/>
      <c r="IB856" s="8"/>
      <c r="IC856" s="8"/>
      <c r="ID856" s="8"/>
      <c r="IE856" s="8"/>
      <c r="IF856" s="8"/>
      <c r="IG856" s="8"/>
      <c r="IH856" s="8"/>
      <c r="II856" s="8"/>
      <c r="IJ856" s="8"/>
      <c r="IK856" s="8"/>
      <c r="IL856" s="8"/>
      <c r="IM856" s="8"/>
      <c r="IN856" s="8"/>
      <c r="IO856" s="8"/>
      <c r="IP856" s="8"/>
      <c r="IQ856" s="8"/>
      <c r="IR856" s="8"/>
      <c r="IS856" s="8"/>
      <c r="IT856" s="8"/>
      <c r="IU856" s="8"/>
      <c r="IV856" s="8"/>
    </row>
    <row r="857" ht="12.75" customHeight="1">
      <c r="A857" s="8"/>
      <c r="HT857" s="8"/>
      <c r="HU857" s="8"/>
      <c r="HV857" s="8"/>
      <c r="HW857" s="8"/>
      <c r="HX857" s="8"/>
      <c r="HY857" s="8"/>
      <c r="HZ857" s="8"/>
      <c r="IA857" s="8"/>
      <c r="IB857" s="8"/>
      <c r="IC857" s="8"/>
      <c r="ID857" s="8"/>
      <c r="IE857" s="8"/>
      <c r="IF857" s="8"/>
      <c r="IG857" s="8"/>
      <c r="IH857" s="8"/>
      <c r="II857" s="8"/>
      <c r="IJ857" s="8"/>
      <c r="IK857" s="8"/>
      <c r="IL857" s="8"/>
      <c r="IM857" s="8"/>
      <c r="IN857" s="8"/>
      <c r="IO857" s="8"/>
      <c r="IP857" s="8"/>
      <c r="IQ857" s="8"/>
      <c r="IR857" s="8"/>
      <c r="IS857" s="8"/>
      <c r="IT857" s="8"/>
      <c r="IU857" s="8"/>
      <c r="IV857" s="8"/>
    </row>
    <row r="858" ht="12.75" customHeight="1">
      <c r="A858" s="8"/>
      <c r="HT858" s="8"/>
      <c r="HU858" s="8"/>
      <c r="HV858" s="8"/>
      <c r="HW858" s="8"/>
      <c r="HX858" s="8"/>
      <c r="HY858" s="8"/>
      <c r="HZ858" s="8"/>
      <c r="IA858" s="8"/>
      <c r="IB858" s="8"/>
      <c r="IC858" s="8"/>
      <c r="ID858" s="8"/>
      <c r="IE858" s="8"/>
      <c r="IF858" s="8"/>
      <c r="IG858" s="8"/>
      <c r="IH858" s="8"/>
      <c r="II858" s="8"/>
      <c r="IJ858" s="8"/>
      <c r="IK858" s="8"/>
      <c r="IL858" s="8"/>
      <c r="IM858" s="8"/>
      <c r="IN858" s="8"/>
      <c r="IO858" s="8"/>
      <c r="IP858" s="8"/>
      <c r="IQ858" s="8"/>
      <c r="IR858" s="8"/>
      <c r="IS858" s="8"/>
      <c r="IT858" s="8"/>
      <c r="IU858" s="8"/>
      <c r="IV858" s="8"/>
    </row>
    <row r="859" ht="12.75" customHeight="1">
      <c r="A859" s="8"/>
      <c r="HT859" s="8"/>
      <c r="HU859" s="8"/>
      <c r="HV859" s="8"/>
      <c r="HW859" s="8"/>
      <c r="HX859" s="8"/>
      <c r="HY859" s="8"/>
      <c r="HZ859" s="8"/>
      <c r="IA859" s="8"/>
      <c r="IB859" s="8"/>
      <c r="IC859" s="8"/>
      <c r="ID859" s="8"/>
      <c r="IE859" s="8"/>
      <c r="IF859" s="8"/>
      <c r="IG859" s="8"/>
      <c r="IH859" s="8"/>
      <c r="II859" s="8"/>
      <c r="IJ859" s="8"/>
      <c r="IK859" s="8"/>
      <c r="IL859" s="8"/>
      <c r="IM859" s="8"/>
      <c r="IN859" s="8"/>
      <c r="IO859" s="8"/>
      <c r="IP859" s="8"/>
      <c r="IQ859" s="8"/>
      <c r="IR859" s="8"/>
      <c r="IS859" s="8"/>
      <c r="IT859" s="8"/>
      <c r="IU859" s="8"/>
      <c r="IV859" s="8"/>
    </row>
    <row r="860" ht="12.75" customHeight="1">
      <c r="A860" s="8"/>
      <c r="HT860" s="8"/>
      <c r="HU860" s="8"/>
      <c r="HV860" s="8"/>
      <c r="HW860" s="8"/>
      <c r="HX860" s="8"/>
      <c r="HY860" s="8"/>
      <c r="HZ860" s="8"/>
      <c r="IA860" s="8"/>
      <c r="IB860" s="8"/>
      <c r="IC860" s="8"/>
      <c r="ID860" s="8"/>
      <c r="IE860" s="8"/>
      <c r="IF860" s="8"/>
      <c r="IG860" s="8"/>
      <c r="IH860" s="8"/>
      <c r="II860" s="8"/>
      <c r="IJ860" s="8"/>
      <c r="IK860" s="8"/>
      <c r="IL860" s="8"/>
      <c r="IM860" s="8"/>
      <c r="IN860" s="8"/>
      <c r="IO860" s="8"/>
      <c r="IP860" s="8"/>
      <c r="IQ860" s="8"/>
      <c r="IR860" s="8"/>
      <c r="IS860" s="8"/>
      <c r="IT860" s="8"/>
      <c r="IU860" s="8"/>
      <c r="IV860" s="8"/>
    </row>
    <row r="861" ht="12.75" customHeight="1">
      <c r="A861" s="8"/>
      <c r="HT861" s="8"/>
      <c r="HU861" s="8"/>
      <c r="HV861" s="8"/>
      <c r="HW861" s="8"/>
      <c r="HX861" s="8"/>
      <c r="HY861" s="8"/>
      <c r="HZ861" s="8"/>
      <c r="IA861" s="8"/>
      <c r="IB861" s="8"/>
      <c r="IC861" s="8"/>
      <c r="ID861" s="8"/>
      <c r="IE861" s="8"/>
      <c r="IF861" s="8"/>
      <c r="IG861" s="8"/>
      <c r="IH861" s="8"/>
      <c r="II861" s="8"/>
      <c r="IJ861" s="8"/>
      <c r="IK861" s="8"/>
      <c r="IL861" s="8"/>
      <c r="IM861" s="8"/>
      <c r="IN861" s="8"/>
      <c r="IO861" s="8"/>
      <c r="IP861" s="8"/>
      <c r="IQ861" s="8"/>
      <c r="IR861" s="8"/>
      <c r="IS861" s="8"/>
      <c r="IT861" s="8"/>
      <c r="IU861" s="8"/>
      <c r="IV861" s="8"/>
    </row>
    <row r="862" ht="12.75" customHeight="1">
      <c r="A862" s="8"/>
      <c r="HT862" s="8"/>
      <c r="HU862" s="8"/>
      <c r="HV862" s="8"/>
      <c r="HW862" s="8"/>
      <c r="HX862" s="8"/>
      <c r="HY862" s="8"/>
      <c r="HZ862" s="8"/>
      <c r="IA862" s="8"/>
      <c r="IB862" s="8"/>
      <c r="IC862" s="8"/>
      <c r="ID862" s="8"/>
      <c r="IE862" s="8"/>
      <c r="IF862" s="8"/>
      <c r="IG862" s="8"/>
      <c r="IH862" s="8"/>
      <c r="II862" s="8"/>
      <c r="IJ862" s="8"/>
      <c r="IK862" s="8"/>
      <c r="IL862" s="8"/>
      <c r="IM862" s="8"/>
      <c r="IN862" s="8"/>
      <c r="IO862" s="8"/>
      <c r="IP862" s="8"/>
      <c r="IQ862" s="8"/>
      <c r="IR862" s="8"/>
      <c r="IS862" s="8"/>
      <c r="IT862" s="8"/>
      <c r="IU862" s="8"/>
      <c r="IV862" s="8"/>
    </row>
    <row r="863" ht="12.75" customHeight="1">
      <c r="A863" s="8"/>
      <c r="HT863" s="8"/>
      <c r="HU863" s="8"/>
      <c r="HV863" s="8"/>
      <c r="HW863" s="8"/>
      <c r="HX863" s="8"/>
      <c r="HY863" s="8"/>
      <c r="HZ863" s="8"/>
      <c r="IA863" s="8"/>
      <c r="IB863" s="8"/>
      <c r="IC863" s="8"/>
      <c r="ID863" s="8"/>
      <c r="IE863" s="8"/>
      <c r="IF863" s="8"/>
      <c r="IG863" s="8"/>
      <c r="IH863" s="8"/>
      <c r="II863" s="8"/>
      <c r="IJ863" s="8"/>
      <c r="IK863" s="8"/>
      <c r="IL863" s="8"/>
      <c r="IM863" s="8"/>
      <c r="IN863" s="8"/>
      <c r="IO863" s="8"/>
      <c r="IP863" s="8"/>
      <c r="IQ863" s="8"/>
      <c r="IR863" s="8"/>
      <c r="IS863" s="8"/>
      <c r="IT863" s="8"/>
      <c r="IU863" s="8"/>
      <c r="IV863" s="8"/>
    </row>
    <row r="864" ht="12.75" customHeight="1">
      <c r="A864" s="8"/>
      <c r="HT864" s="8"/>
      <c r="HU864" s="8"/>
      <c r="HV864" s="8"/>
      <c r="HW864" s="8"/>
      <c r="HX864" s="8"/>
      <c r="HY864" s="8"/>
      <c r="HZ864" s="8"/>
      <c r="IA864" s="8"/>
      <c r="IB864" s="8"/>
      <c r="IC864" s="8"/>
      <c r="ID864" s="8"/>
      <c r="IE864" s="8"/>
      <c r="IF864" s="8"/>
      <c r="IG864" s="8"/>
      <c r="IH864" s="8"/>
      <c r="II864" s="8"/>
      <c r="IJ864" s="8"/>
      <c r="IK864" s="8"/>
      <c r="IL864" s="8"/>
      <c r="IM864" s="8"/>
      <c r="IN864" s="8"/>
      <c r="IO864" s="8"/>
      <c r="IP864" s="8"/>
      <c r="IQ864" s="8"/>
      <c r="IR864" s="8"/>
      <c r="IS864" s="8"/>
      <c r="IT864" s="8"/>
      <c r="IU864" s="8"/>
      <c r="IV864" s="8"/>
    </row>
    <row r="865" ht="12.75" customHeight="1">
      <c r="A865" s="8"/>
      <c r="HT865" s="8"/>
      <c r="HU865" s="8"/>
      <c r="HV865" s="8"/>
      <c r="HW865" s="8"/>
      <c r="HX865" s="8"/>
      <c r="HY865" s="8"/>
      <c r="HZ865" s="8"/>
      <c r="IA865" s="8"/>
      <c r="IB865" s="8"/>
      <c r="IC865" s="8"/>
      <c r="ID865" s="8"/>
      <c r="IE865" s="8"/>
      <c r="IF865" s="8"/>
      <c r="IG865" s="8"/>
      <c r="IH865" s="8"/>
      <c r="II865" s="8"/>
      <c r="IJ865" s="8"/>
      <c r="IK865" s="8"/>
      <c r="IL865" s="8"/>
      <c r="IM865" s="8"/>
      <c r="IN865" s="8"/>
      <c r="IO865" s="8"/>
      <c r="IP865" s="8"/>
      <c r="IQ865" s="8"/>
      <c r="IR865" s="8"/>
      <c r="IS865" s="8"/>
      <c r="IT865" s="8"/>
      <c r="IU865" s="8"/>
      <c r="IV865" s="8"/>
    </row>
    <row r="866" ht="12.75" customHeight="1">
      <c r="A866" s="8"/>
      <c r="HT866" s="8"/>
      <c r="HU866" s="8"/>
      <c r="HV866" s="8"/>
      <c r="HW866" s="8"/>
      <c r="HX866" s="8"/>
      <c r="HY866" s="8"/>
      <c r="HZ866" s="8"/>
      <c r="IA866" s="8"/>
      <c r="IB866" s="8"/>
      <c r="IC866" s="8"/>
      <c r="ID866" s="8"/>
      <c r="IE866" s="8"/>
      <c r="IF866" s="8"/>
      <c r="IG866" s="8"/>
      <c r="IH866" s="8"/>
      <c r="II866" s="8"/>
      <c r="IJ866" s="8"/>
      <c r="IK866" s="8"/>
      <c r="IL866" s="8"/>
      <c r="IM866" s="8"/>
      <c r="IN866" s="8"/>
      <c r="IO866" s="8"/>
      <c r="IP866" s="8"/>
      <c r="IQ866" s="8"/>
      <c r="IR866" s="8"/>
      <c r="IS866" s="8"/>
      <c r="IT866" s="8"/>
      <c r="IU866" s="8"/>
      <c r="IV866" s="8"/>
    </row>
    <row r="867" ht="12.75" customHeight="1">
      <c r="A867" s="8"/>
      <c r="HT867" s="8"/>
      <c r="HU867" s="8"/>
      <c r="HV867" s="8"/>
      <c r="HW867" s="8"/>
      <c r="HX867" s="8"/>
      <c r="HY867" s="8"/>
      <c r="HZ867" s="8"/>
      <c r="IA867" s="8"/>
      <c r="IB867" s="8"/>
      <c r="IC867" s="8"/>
      <c r="ID867" s="8"/>
      <c r="IE867" s="8"/>
      <c r="IF867" s="8"/>
      <c r="IG867" s="8"/>
      <c r="IH867" s="8"/>
      <c r="II867" s="8"/>
      <c r="IJ867" s="8"/>
      <c r="IK867" s="8"/>
      <c r="IL867" s="8"/>
      <c r="IM867" s="8"/>
      <c r="IN867" s="8"/>
      <c r="IO867" s="8"/>
      <c r="IP867" s="8"/>
      <c r="IQ867" s="8"/>
      <c r="IR867" s="8"/>
      <c r="IS867" s="8"/>
      <c r="IT867" s="8"/>
      <c r="IU867" s="8"/>
      <c r="IV867" s="8"/>
    </row>
    <row r="868" ht="12.75" customHeight="1">
      <c r="A868" s="8"/>
      <c r="HT868" s="8"/>
      <c r="HU868" s="8"/>
      <c r="HV868" s="8"/>
      <c r="HW868" s="8"/>
      <c r="HX868" s="8"/>
      <c r="HY868" s="8"/>
      <c r="HZ868" s="8"/>
      <c r="IA868" s="8"/>
      <c r="IB868" s="8"/>
      <c r="IC868" s="8"/>
      <c r="ID868" s="8"/>
      <c r="IE868" s="8"/>
      <c r="IF868" s="8"/>
      <c r="IG868" s="8"/>
      <c r="IH868" s="8"/>
      <c r="II868" s="8"/>
      <c r="IJ868" s="8"/>
      <c r="IK868" s="8"/>
      <c r="IL868" s="8"/>
      <c r="IM868" s="8"/>
      <c r="IN868" s="8"/>
      <c r="IO868" s="8"/>
      <c r="IP868" s="8"/>
      <c r="IQ868" s="8"/>
      <c r="IR868" s="8"/>
      <c r="IS868" s="8"/>
      <c r="IT868" s="8"/>
      <c r="IU868" s="8"/>
      <c r="IV868" s="8"/>
    </row>
    <row r="869" ht="12.75" customHeight="1">
      <c r="A869" s="8"/>
      <c r="HT869" s="8"/>
      <c r="HU869" s="8"/>
      <c r="HV869" s="8"/>
      <c r="HW869" s="8"/>
      <c r="HX869" s="8"/>
      <c r="HY869" s="8"/>
      <c r="HZ869" s="8"/>
      <c r="IA869" s="8"/>
      <c r="IB869" s="8"/>
      <c r="IC869" s="8"/>
      <c r="ID869" s="8"/>
      <c r="IE869" s="8"/>
      <c r="IF869" s="8"/>
      <c r="IG869" s="8"/>
      <c r="IH869" s="8"/>
      <c r="II869" s="8"/>
      <c r="IJ869" s="8"/>
      <c r="IK869" s="8"/>
      <c r="IL869" s="8"/>
      <c r="IM869" s="8"/>
      <c r="IN869" s="8"/>
      <c r="IO869" s="8"/>
      <c r="IP869" s="8"/>
      <c r="IQ869" s="8"/>
      <c r="IR869" s="8"/>
      <c r="IS869" s="8"/>
      <c r="IT869" s="8"/>
      <c r="IU869" s="8"/>
      <c r="IV869" s="8"/>
    </row>
    <row r="870" ht="12.75" customHeight="1">
      <c r="A870" s="8"/>
      <c r="HT870" s="8"/>
      <c r="HU870" s="8"/>
      <c r="HV870" s="8"/>
      <c r="HW870" s="8"/>
      <c r="HX870" s="8"/>
      <c r="HY870" s="8"/>
      <c r="HZ870" s="8"/>
      <c r="IA870" s="8"/>
      <c r="IB870" s="8"/>
      <c r="IC870" s="8"/>
      <c r="ID870" s="8"/>
      <c r="IE870" s="8"/>
      <c r="IF870" s="8"/>
      <c r="IG870" s="8"/>
      <c r="IH870" s="8"/>
      <c r="II870" s="8"/>
      <c r="IJ870" s="8"/>
      <c r="IK870" s="8"/>
      <c r="IL870" s="8"/>
      <c r="IM870" s="8"/>
      <c r="IN870" s="8"/>
      <c r="IO870" s="8"/>
      <c r="IP870" s="8"/>
      <c r="IQ870" s="8"/>
      <c r="IR870" s="8"/>
      <c r="IS870" s="8"/>
      <c r="IT870" s="8"/>
      <c r="IU870" s="8"/>
      <c r="IV870" s="8"/>
    </row>
    <row r="871" ht="12.75" customHeight="1">
      <c r="A871" s="8"/>
      <c r="HT871" s="8"/>
      <c r="HU871" s="8"/>
      <c r="HV871" s="8"/>
      <c r="HW871" s="8"/>
      <c r="HX871" s="8"/>
      <c r="HY871" s="8"/>
      <c r="HZ871" s="8"/>
      <c r="IA871" s="8"/>
      <c r="IB871" s="8"/>
      <c r="IC871" s="8"/>
      <c r="ID871" s="8"/>
      <c r="IE871" s="8"/>
      <c r="IF871" s="8"/>
      <c r="IG871" s="8"/>
      <c r="IH871" s="8"/>
      <c r="II871" s="8"/>
      <c r="IJ871" s="8"/>
      <c r="IK871" s="8"/>
      <c r="IL871" s="8"/>
      <c r="IM871" s="8"/>
      <c r="IN871" s="8"/>
      <c r="IO871" s="8"/>
      <c r="IP871" s="8"/>
      <c r="IQ871" s="8"/>
      <c r="IR871" s="8"/>
      <c r="IS871" s="8"/>
      <c r="IT871" s="8"/>
      <c r="IU871" s="8"/>
      <c r="IV871" s="8"/>
    </row>
    <row r="872" ht="12.75" customHeight="1">
      <c r="A872" s="8"/>
      <c r="HT872" s="8"/>
      <c r="HU872" s="8"/>
      <c r="HV872" s="8"/>
      <c r="HW872" s="8"/>
      <c r="HX872" s="8"/>
      <c r="HY872" s="8"/>
      <c r="HZ872" s="8"/>
      <c r="IA872" s="8"/>
      <c r="IB872" s="8"/>
      <c r="IC872" s="8"/>
      <c r="ID872" s="8"/>
      <c r="IE872" s="8"/>
      <c r="IF872" s="8"/>
      <c r="IG872" s="8"/>
      <c r="IH872" s="8"/>
      <c r="II872" s="8"/>
      <c r="IJ872" s="8"/>
      <c r="IK872" s="8"/>
      <c r="IL872" s="8"/>
      <c r="IM872" s="8"/>
      <c r="IN872" s="8"/>
      <c r="IO872" s="8"/>
      <c r="IP872" s="8"/>
      <c r="IQ872" s="8"/>
      <c r="IR872" s="8"/>
      <c r="IS872" s="8"/>
      <c r="IT872" s="8"/>
      <c r="IU872" s="8"/>
      <c r="IV872" s="8"/>
    </row>
    <row r="873" ht="12.75" customHeight="1">
      <c r="A873" s="8"/>
      <c r="HT873" s="8"/>
      <c r="HU873" s="8"/>
      <c r="HV873" s="8"/>
      <c r="HW873" s="8"/>
      <c r="HX873" s="8"/>
      <c r="HY873" s="8"/>
      <c r="HZ873" s="8"/>
      <c r="IA873" s="8"/>
      <c r="IB873" s="8"/>
      <c r="IC873" s="8"/>
      <c r="ID873" s="8"/>
      <c r="IE873" s="8"/>
      <c r="IF873" s="8"/>
      <c r="IG873" s="8"/>
      <c r="IH873" s="8"/>
      <c r="II873" s="8"/>
      <c r="IJ873" s="8"/>
      <c r="IK873" s="8"/>
      <c r="IL873" s="8"/>
      <c r="IM873" s="8"/>
      <c r="IN873" s="8"/>
      <c r="IO873" s="8"/>
      <c r="IP873" s="8"/>
      <c r="IQ873" s="8"/>
      <c r="IR873" s="8"/>
      <c r="IS873" s="8"/>
      <c r="IT873" s="8"/>
      <c r="IU873" s="8"/>
      <c r="IV873" s="8"/>
    </row>
    <row r="874" ht="12.75" customHeight="1">
      <c r="A874" s="8"/>
      <c r="HT874" s="8"/>
      <c r="HU874" s="8"/>
      <c r="HV874" s="8"/>
      <c r="HW874" s="8"/>
      <c r="HX874" s="8"/>
      <c r="HY874" s="8"/>
      <c r="HZ874" s="8"/>
      <c r="IA874" s="8"/>
      <c r="IB874" s="8"/>
      <c r="IC874" s="8"/>
      <c r="ID874" s="8"/>
      <c r="IE874" s="8"/>
      <c r="IF874" s="8"/>
      <c r="IG874" s="8"/>
      <c r="IH874" s="8"/>
      <c r="II874" s="8"/>
      <c r="IJ874" s="8"/>
      <c r="IK874" s="8"/>
      <c r="IL874" s="8"/>
      <c r="IM874" s="8"/>
      <c r="IN874" s="8"/>
      <c r="IO874" s="8"/>
      <c r="IP874" s="8"/>
      <c r="IQ874" s="8"/>
      <c r="IR874" s="8"/>
      <c r="IS874" s="8"/>
      <c r="IT874" s="8"/>
      <c r="IU874" s="8"/>
      <c r="IV874" s="8"/>
    </row>
    <row r="875" ht="12.75" customHeight="1">
      <c r="A875" s="8"/>
      <c r="HT875" s="8"/>
      <c r="HU875" s="8"/>
      <c r="HV875" s="8"/>
      <c r="HW875" s="8"/>
      <c r="HX875" s="8"/>
      <c r="HY875" s="8"/>
      <c r="HZ875" s="8"/>
      <c r="IA875" s="8"/>
      <c r="IB875" s="8"/>
      <c r="IC875" s="8"/>
      <c r="ID875" s="8"/>
      <c r="IE875" s="8"/>
      <c r="IF875" s="8"/>
      <c r="IG875" s="8"/>
      <c r="IH875" s="8"/>
      <c r="II875" s="8"/>
      <c r="IJ875" s="8"/>
      <c r="IK875" s="8"/>
      <c r="IL875" s="8"/>
      <c r="IM875" s="8"/>
      <c r="IN875" s="8"/>
      <c r="IO875" s="8"/>
      <c r="IP875" s="8"/>
      <c r="IQ875" s="8"/>
      <c r="IR875" s="8"/>
      <c r="IS875" s="8"/>
      <c r="IT875" s="8"/>
      <c r="IU875" s="8"/>
      <c r="IV875" s="8"/>
    </row>
    <row r="876" ht="12.75" customHeight="1">
      <c r="A876" s="8"/>
      <c r="HT876" s="8"/>
      <c r="HU876" s="8"/>
      <c r="HV876" s="8"/>
      <c r="HW876" s="8"/>
      <c r="HX876" s="8"/>
      <c r="HY876" s="8"/>
      <c r="HZ876" s="8"/>
      <c r="IA876" s="8"/>
      <c r="IB876" s="8"/>
      <c r="IC876" s="8"/>
      <c r="ID876" s="8"/>
      <c r="IE876" s="8"/>
      <c r="IF876" s="8"/>
      <c r="IG876" s="8"/>
      <c r="IH876" s="8"/>
      <c r="II876" s="8"/>
      <c r="IJ876" s="8"/>
      <c r="IK876" s="8"/>
      <c r="IL876" s="8"/>
      <c r="IM876" s="8"/>
      <c r="IN876" s="8"/>
      <c r="IO876" s="8"/>
      <c r="IP876" s="8"/>
      <c r="IQ876" s="8"/>
      <c r="IR876" s="8"/>
      <c r="IS876" s="8"/>
      <c r="IT876" s="8"/>
      <c r="IU876" s="8"/>
      <c r="IV876" s="8"/>
    </row>
    <row r="877" ht="12.75" customHeight="1">
      <c r="A877" s="8"/>
      <c r="HT877" s="8"/>
      <c r="HU877" s="8"/>
      <c r="HV877" s="8"/>
      <c r="HW877" s="8"/>
      <c r="HX877" s="8"/>
      <c r="HY877" s="8"/>
      <c r="HZ877" s="8"/>
      <c r="IA877" s="8"/>
      <c r="IB877" s="8"/>
      <c r="IC877" s="8"/>
      <c r="ID877" s="8"/>
      <c r="IE877" s="8"/>
      <c r="IF877" s="8"/>
      <c r="IG877" s="8"/>
      <c r="IH877" s="8"/>
      <c r="II877" s="8"/>
      <c r="IJ877" s="8"/>
      <c r="IK877" s="8"/>
      <c r="IL877" s="8"/>
      <c r="IM877" s="8"/>
      <c r="IN877" s="8"/>
      <c r="IO877" s="8"/>
      <c r="IP877" s="8"/>
      <c r="IQ877" s="8"/>
      <c r="IR877" s="8"/>
      <c r="IS877" s="8"/>
      <c r="IT877" s="8"/>
      <c r="IU877" s="8"/>
      <c r="IV877" s="8"/>
    </row>
    <row r="878" ht="12.75" customHeight="1">
      <c r="A878" s="8"/>
      <c r="HT878" s="8"/>
      <c r="HU878" s="8"/>
      <c r="HV878" s="8"/>
      <c r="HW878" s="8"/>
      <c r="HX878" s="8"/>
      <c r="HY878" s="8"/>
      <c r="HZ878" s="8"/>
      <c r="IA878" s="8"/>
      <c r="IB878" s="8"/>
      <c r="IC878" s="8"/>
      <c r="ID878" s="8"/>
      <c r="IE878" s="8"/>
      <c r="IF878" s="8"/>
      <c r="IG878" s="8"/>
      <c r="IH878" s="8"/>
      <c r="II878" s="8"/>
      <c r="IJ878" s="8"/>
      <c r="IK878" s="8"/>
      <c r="IL878" s="8"/>
      <c r="IM878" s="8"/>
      <c r="IN878" s="8"/>
      <c r="IO878" s="8"/>
      <c r="IP878" s="8"/>
      <c r="IQ878" s="8"/>
      <c r="IR878" s="8"/>
      <c r="IS878" s="8"/>
      <c r="IT878" s="8"/>
      <c r="IU878" s="8"/>
      <c r="IV878" s="8"/>
    </row>
    <row r="879" ht="12.75" customHeight="1">
      <c r="A879" s="8"/>
      <c r="HT879" s="8"/>
      <c r="HU879" s="8"/>
      <c r="HV879" s="8"/>
      <c r="HW879" s="8"/>
      <c r="HX879" s="8"/>
      <c r="HY879" s="8"/>
      <c r="HZ879" s="8"/>
      <c r="IA879" s="8"/>
      <c r="IB879" s="8"/>
      <c r="IC879" s="8"/>
      <c r="ID879" s="8"/>
      <c r="IE879" s="8"/>
      <c r="IF879" s="8"/>
      <c r="IG879" s="8"/>
      <c r="IH879" s="8"/>
      <c r="II879" s="8"/>
      <c r="IJ879" s="8"/>
      <c r="IK879" s="8"/>
      <c r="IL879" s="8"/>
      <c r="IM879" s="8"/>
      <c r="IN879" s="8"/>
      <c r="IO879" s="8"/>
      <c r="IP879" s="8"/>
      <c r="IQ879" s="8"/>
      <c r="IR879" s="8"/>
      <c r="IS879" s="8"/>
      <c r="IT879" s="8"/>
      <c r="IU879" s="8"/>
      <c r="IV879" s="8"/>
    </row>
    <row r="880" ht="12.75" customHeight="1">
      <c r="A880" s="8"/>
      <c r="HT880" s="8"/>
      <c r="HU880" s="8"/>
      <c r="HV880" s="8"/>
      <c r="HW880" s="8"/>
      <c r="HX880" s="8"/>
      <c r="HY880" s="8"/>
      <c r="HZ880" s="8"/>
      <c r="IA880" s="8"/>
      <c r="IB880" s="8"/>
      <c r="IC880" s="8"/>
      <c r="ID880" s="8"/>
      <c r="IE880" s="8"/>
      <c r="IF880" s="8"/>
      <c r="IG880" s="8"/>
      <c r="IH880" s="8"/>
      <c r="II880" s="8"/>
      <c r="IJ880" s="8"/>
      <c r="IK880" s="8"/>
      <c r="IL880" s="8"/>
      <c r="IM880" s="8"/>
      <c r="IN880" s="8"/>
      <c r="IO880" s="8"/>
      <c r="IP880" s="8"/>
      <c r="IQ880" s="8"/>
      <c r="IR880" s="8"/>
      <c r="IS880" s="8"/>
      <c r="IT880" s="8"/>
      <c r="IU880" s="8"/>
      <c r="IV880" s="8"/>
    </row>
    <row r="881" ht="12.75" customHeight="1">
      <c r="A881" s="8"/>
      <c r="HT881" s="8"/>
      <c r="HU881" s="8"/>
      <c r="HV881" s="8"/>
      <c r="HW881" s="8"/>
      <c r="HX881" s="8"/>
      <c r="HY881" s="8"/>
      <c r="HZ881" s="8"/>
      <c r="IA881" s="8"/>
      <c r="IB881" s="8"/>
      <c r="IC881" s="8"/>
      <c r="ID881" s="8"/>
      <c r="IE881" s="8"/>
      <c r="IF881" s="8"/>
      <c r="IG881" s="8"/>
      <c r="IH881" s="8"/>
      <c r="II881" s="8"/>
      <c r="IJ881" s="8"/>
      <c r="IK881" s="8"/>
      <c r="IL881" s="8"/>
      <c r="IM881" s="8"/>
      <c r="IN881" s="8"/>
      <c r="IO881" s="8"/>
      <c r="IP881" s="8"/>
      <c r="IQ881" s="8"/>
      <c r="IR881" s="8"/>
      <c r="IS881" s="8"/>
      <c r="IT881" s="8"/>
      <c r="IU881" s="8"/>
      <c r="IV881" s="8"/>
    </row>
    <row r="882" ht="12.75" customHeight="1">
      <c r="A882" s="8"/>
      <c r="HT882" s="8"/>
      <c r="HU882" s="8"/>
      <c r="HV882" s="8"/>
      <c r="HW882" s="8"/>
      <c r="HX882" s="8"/>
      <c r="HY882" s="8"/>
      <c r="HZ882" s="8"/>
      <c r="IA882" s="8"/>
      <c r="IB882" s="8"/>
      <c r="IC882" s="8"/>
      <c r="ID882" s="8"/>
      <c r="IE882" s="8"/>
      <c r="IF882" s="8"/>
      <c r="IG882" s="8"/>
      <c r="IH882" s="8"/>
      <c r="II882" s="8"/>
      <c r="IJ882" s="8"/>
      <c r="IK882" s="8"/>
      <c r="IL882" s="8"/>
      <c r="IM882" s="8"/>
      <c r="IN882" s="8"/>
      <c r="IO882" s="8"/>
      <c r="IP882" s="8"/>
      <c r="IQ882" s="8"/>
      <c r="IR882" s="8"/>
      <c r="IS882" s="8"/>
      <c r="IT882" s="8"/>
      <c r="IU882" s="8"/>
      <c r="IV882" s="8"/>
    </row>
    <row r="883" ht="12.75" customHeight="1">
      <c r="A883" s="8"/>
      <c r="HT883" s="8"/>
      <c r="HU883" s="8"/>
      <c r="HV883" s="8"/>
      <c r="HW883" s="8"/>
      <c r="HX883" s="8"/>
      <c r="HY883" s="8"/>
      <c r="HZ883" s="8"/>
      <c r="IA883" s="8"/>
      <c r="IB883" s="8"/>
      <c r="IC883" s="8"/>
      <c r="ID883" s="8"/>
      <c r="IE883" s="8"/>
      <c r="IF883" s="8"/>
      <c r="IG883" s="8"/>
      <c r="IH883" s="8"/>
      <c r="II883" s="8"/>
      <c r="IJ883" s="8"/>
      <c r="IK883" s="8"/>
      <c r="IL883" s="8"/>
      <c r="IM883" s="8"/>
      <c r="IN883" s="8"/>
      <c r="IO883" s="8"/>
      <c r="IP883" s="8"/>
      <c r="IQ883" s="8"/>
      <c r="IR883" s="8"/>
      <c r="IS883" s="8"/>
      <c r="IT883" s="8"/>
      <c r="IU883" s="8"/>
      <c r="IV883" s="8"/>
    </row>
    <row r="884" ht="12.75" customHeight="1">
      <c r="A884" s="8"/>
      <c r="HT884" s="8"/>
      <c r="HU884" s="8"/>
      <c r="HV884" s="8"/>
      <c r="HW884" s="8"/>
      <c r="HX884" s="8"/>
      <c r="HY884" s="8"/>
      <c r="HZ884" s="8"/>
      <c r="IA884" s="8"/>
      <c r="IB884" s="8"/>
      <c r="IC884" s="8"/>
      <c r="ID884" s="8"/>
      <c r="IE884" s="8"/>
      <c r="IF884" s="8"/>
      <c r="IG884" s="8"/>
      <c r="IH884" s="8"/>
      <c r="II884" s="8"/>
      <c r="IJ884" s="8"/>
      <c r="IK884" s="8"/>
      <c r="IL884" s="8"/>
      <c r="IM884" s="8"/>
      <c r="IN884" s="8"/>
      <c r="IO884" s="8"/>
      <c r="IP884" s="8"/>
      <c r="IQ884" s="8"/>
      <c r="IR884" s="8"/>
      <c r="IS884" s="8"/>
      <c r="IT884" s="8"/>
      <c r="IU884" s="8"/>
      <c r="IV884" s="8"/>
    </row>
    <row r="885" ht="12.75" customHeight="1">
      <c r="A885" s="8"/>
      <c r="HT885" s="8"/>
      <c r="HU885" s="8"/>
      <c r="HV885" s="8"/>
      <c r="HW885" s="8"/>
      <c r="HX885" s="8"/>
      <c r="HY885" s="8"/>
      <c r="HZ885" s="8"/>
      <c r="IA885" s="8"/>
      <c r="IB885" s="8"/>
      <c r="IC885" s="8"/>
      <c r="ID885" s="8"/>
      <c r="IE885" s="8"/>
      <c r="IF885" s="8"/>
      <c r="IG885" s="8"/>
      <c r="IH885" s="8"/>
      <c r="II885" s="8"/>
      <c r="IJ885" s="8"/>
      <c r="IK885" s="8"/>
      <c r="IL885" s="8"/>
      <c r="IM885" s="8"/>
      <c r="IN885" s="8"/>
      <c r="IO885" s="8"/>
      <c r="IP885" s="8"/>
      <c r="IQ885" s="8"/>
      <c r="IR885" s="8"/>
      <c r="IS885" s="8"/>
      <c r="IT885" s="8"/>
      <c r="IU885" s="8"/>
      <c r="IV885" s="8"/>
    </row>
    <row r="886" ht="12.75" customHeight="1">
      <c r="A886" s="8"/>
      <c r="HT886" s="8"/>
      <c r="HU886" s="8"/>
      <c r="HV886" s="8"/>
      <c r="HW886" s="8"/>
      <c r="HX886" s="8"/>
      <c r="HY886" s="8"/>
      <c r="HZ886" s="8"/>
      <c r="IA886" s="8"/>
      <c r="IB886" s="8"/>
      <c r="IC886" s="8"/>
      <c r="ID886" s="8"/>
      <c r="IE886" s="8"/>
      <c r="IF886" s="8"/>
      <c r="IG886" s="8"/>
      <c r="IH886" s="8"/>
      <c r="II886" s="8"/>
      <c r="IJ886" s="8"/>
      <c r="IK886" s="8"/>
      <c r="IL886" s="8"/>
      <c r="IM886" s="8"/>
      <c r="IN886" s="8"/>
      <c r="IO886" s="8"/>
      <c r="IP886" s="8"/>
      <c r="IQ886" s="8"/>
      <c r="IR886" s="8"/>
      <c r="IS886" s="8"/>
      <c r="IT886" s="8"/>
      <c r="IU886" s="8"/>
      <c r="IV886" s="8"/>
    </row>
    <row r="887" ht="12.75" customHeight="1">
      <c r="A887" s="8"/>
      <c r="HT887" s="8"/>
      <c r="HU887" s="8"/>
      <c r="HV887" s="8"/>
      <c r="HW887" s="8"/>
      <c r="HX887" s="8"/>
      <c r="HY887" s="8"/>
      <c r="HZ887" s="8"/>
      <c r="IA887" s="8"/>
      <c r="IB887" s="8"/>
      <c r="IC887" s="8"/>
      <c r="ID887" s="8"/>
      <c r="IE887" s="8"/>
      <c r="IF887" s="8"/>
      <c r="IG887" s="8"/>
      <c r="IH887" s="8"/>
      <c r="II887" s="8"/>
      <c r="IJ887" s="8"/>
      <c r="IK887" s="8"/>
      <c r="IL887" s="8"/>
      <c r="IM887" s="8"/>
      <c r="IN887" s="8"/>
      <c r="IO887" s="8"/>
      <c r="IP887" s="8"/>
      <c r="IQ887" s="8"/>
      <c r="IR887" s="8"/>
      <c r="IS887" s="8"/>
      <c r="IT887" s="8"/>
      <c r="IU887" s="8"/>
      <c r="IV887" s="8"/>
    </row>
    <row r="888" ht="12.75" customHeight="1">
      <c r="A888" s="8"/>
      <c r="HT888" s="8"/>
      <c r="HU888" s="8"/>
      <c r="HV888" s="8"/>
      <c r="HW888" s="8"/>
      <c r="HX888" s="8"/>
      <c r="HY888" s="8"/>
      <c r="HZ888" s="8"/>
      <c r="IA888" s="8"/>
      <c r="IB888" s="8"/>
      <c r="IC888" s="8"/>
      <c r="ID888" s="8"/>
      <c r="IE888" s="8"/>
      <c r="IF888" s="8"/>
      <c r="IG888" s="8"/>
      <c r="IH888" s="8"/>
      <c r="II888" s="8"/>
      <c r="IJ888" s="8"/>
      <c r="IK888" s="8"/>
      <c r="IL888" s="8"/>
      <c r="IM888" s="8"/>
      <c r="IN888" s="8"/>
      <c r="IO888" s="8"/>
      <c r="IP888" s="8"/>
      <c r="IQ888" s="8"/>
      <c r="IR888" s="8"/>
      <c r="IS888" s="8"/>
      <c r="IT888" s="8"/>
      <c r="IU888" s="8"/>
      <c r="IV888" s="8"/>
    </row>
    <row r="889" ht="12.75" customHeight="1">
      <c r="A889" s="8"/>
      <c r="HT889" s="8"/>
      <c r="HU889" s="8"/>
      <c r="HV889" s="8"/>
      <c r="HW889" s="8"/>
      <c r="HX889" s="8"/>
      <c r="HY889" s="8"/>
      <c r="HZ889" s="8"/>
      <c r="IA889" s="8"/>
      <c r="IB889" s="8"/>
      <c r="IC889" s="8"/>
      <c r="ID889" s="8"/>
      <c r="IE889" s="8"/>
      <c r="IF889" s="8"/>
      <c r="IG889" s="8"/>
      <c r="IH889" s="8"/>
      <c r="II889" s="8"/>
      <c r="IJ889" s="8"/>
      <c r="IK889" s="8"/>
      <c r="IL889" s="8"/>
      <c r="IM889" s="8"/>
      <c r="IN889" s="8"/>
      <c r="IO889" s="8"/>
      <c r="IP889" s="8"/>
      <c r="IQ889" s="8"/>
      <c r="IR889" s="8"/>
      <c r="IS889" s="8"/>
      <c r="IT889" s="8"/>
      <c r="IU889" s="8"/>
      <c r="IV889" s="8"/>
    </row>
    <row r="890" ht="12.75" customHeight="1">
      <c r="A890" s="8"/>
      <c r="HT890" s="8"/>
      <c r="HU890" s="8"/>
      <c r="HV890" s="8"/>
      <c r="HW890" s="8"/>
      <c r="HX890" s="8"/>
      <c r="HY890" s="8"/>
      <c r="HZ890" s="8"/>
      <c r="IA890" s="8"/>
      <c r="IB890" s="8"/>
      <c r="IC890" s="8"/>
      <c r="ID890" s="8"/>
      <c r="IE890" s="8"/>
      <c r="IF890" s="8"/>
      <c r="IG890" s="8"/>
      <c r="IH890" s="8"/>
      <c r="II890" s="8"/>
      <c r="IJ890" s="8"/>
      <c r="IK890" s="8"/>
      <c r="IL890" s="8"/>
      <c r="IM890" s="8"/>
      <c r="IN890" s="8"/>
      <c r="IO890" s="8"/>
      <c r="IP890" s="8"/>
      <c r="IQ890" s="8"/>
      <c r="IR890" s="8"/>
      <c r="IS890" s="8"/>
      <c r="IT890" s="8"/>
      <c r="IU890" s="8"/>
      <c r="IV890" s="8"/>
    </row>
    <row r="891" ht="12.75" customHeight="1">
      <c r="A891" s="8"/>
      <c r="HT891" s="8"/>
      <c r="HU891" s="8"/>
      <c r="HV891" s="8"/>
      <c r="HW891" s="8"/>
      <c r="HX891" s="8"/>
      <c r="HY891" s="8"/>
      <c r="HZ891" s="8"/>
      <c r="IA891" s="8"/>
      <c r="IB891" s="8"/>
      <c r="IC891" s="8"/>
      <c r="ID891" s="8"/>
      <c r="IE891" s="8"/>
      <c r="IF891" s="8"/>
      <c r="IG891" s="8"/>
      <c r="IH891" s="8"/>
      <c r="II891" s="8"/>
      <c r="IJ891" s="8"/>
      <c r="IK891" s="8"/>
      <c r="IL891" s="8"/>
      <c r="IM891" s="8"/>
      <c r="IN891" s="8"/>
      <c r="IO891" s="8"/>
      <c r="IP891" s="8"/>
      <c r="IQ891" s="8"/>
      <c r="IR891" s="8"/>
      <c r="IS891" s="8"/>
      <c r="IT891" s="8"/>
      <c r="IU891" s="8"/>
      <c r="IV891" s="8"/>
    </row>
    <row r="892" ht="12.75" customHeight="1">
      <c r="A892" s="8"/>
      <c r="HT892" s="8"/>
      <c r="HU892" s="8"/>
      <c r="HV892" s="8"/>
      <c r="HW892" s="8"/>
      <c r="HX892" s="8"/>
      <c r="HY892" s="8"/>
      <c r="HZ892" s="8"/>
      <c r="IA892" s="8"/>
      <c r="IB892" s="8"/>
      <c r="IC892" s="8"/>
      <c r="ID892" s="8"/>
      <c r="IE892" s="8"/>
      <c r="IF892" s="8"/>
      <c r="IG892" s="8"/>
      <c r="IH892" s="8"/>
      <c r="II892" s="8"/>
      <c r="IJ892" s="8"/>
      <c r="IK892" s="8"/>
      <c r="IL892" s="8"/>
      <c r="IM892" s="8"/>
      <c r="IN892" s="8"/>
      <c r="IO892" s="8"/>
      <c r="IP892" s="8"/>
      <c r="IQ892" s="8"/>
      <c r="IR892" s="8"/>
      <c r="IS892" s="8"/>
      <c r="IT892" s="8"/>
      <c r="IU892" s="8"/>
      <c r="IV892" s="8"/>
    </row>
    <row r="893" ht="12.75" customHeight="1">
      <c r="A893" s="8"/>
      <c r="HT893" s="8"/>
      <c r="HU893" s="8"/>
      <c r="HV893" s="8"/>
      <c r="HW893" s="8"/>
      <c r="HX893" s="8"/>
      <c r="HY893" s="8"/>
      <c r="HZ893" s="8"/>
      <c r="IA893" s="8"/>
      <c r="IB893" s="8"/>
      <c r="IC893" s="8"/>
      <c r="ID893" s="8"/>
      <c r="IE893" s="8"/>
      <c r="IF893" s="8"/>
      <c r="IG893" s="8"/>
      <c r="IH893" s="8"/>
      <c r="II893" s="8"/>
      <c r="IJ893" s="8"/>
      <c r="IK893" s="8"/>
      <c r="IL893" s="8"/>
      <c r="IM893" s="8"/>
      <c r="IN893" s="8"/>
      <c r="IO893" s="8"/>
      <c r="IP893" s="8"/>
      <c r="IQ893" s="8"/>
      <c r="IR893" s="8"/>
      <c r="IS893" s="8"/>
      <c r="IT893" s="8"/>
      <c r="IU893" s="8"/>
      <c r="IV893" s="8"/>
    </row>
    <row r="894" ht="12.75" customHeight="1">
      <c r="A894" s="8"/>
      <c r="HT894" s="8"/>
      <c r="HU894" s="8"/>
      <c r="HV894" s="8"/>
      <c r="HW894" s="8"/>
      <c r="HX894" s="8"/>
      <c r="HY894" s="8"/>
      <c r="HZ894" s="8"/>
      <c r="IA894" s="8"/>
      <c r="IB894" s="8"/>
      <c r="IC894" s="8"/>
      <c r="ID894" s="8"/>
      <c r="IE894" s="8"/>
      <c r="IF894" s="8"/>
      <c r="IG894" s="8"/>
      <c r="IH894" s="8"/>
      <c r="II894" s="8"/>
      <c r="IJ894" s="8"/>
      <c r="IK894" s="8"/>
      <c r="IL894" s="8"/>
      <c r="IM894" s="8"/>
      <c r="IN894" s="8"/>
      <c r="IO894" s="8"/>
      <c r="IP894" s="8"/>
      <c r="IQ894" s="8"/>
      <c r="IR894" s="8"/>
      <c r="IS894" s="8"/>
      <c r="IT894" s="8"/>
      <c r="IU894" s="8"/>
      <c r="IV894" s="8"/>
    </row>
    <row r="895" ht="12.75" customHeight="1">
      <c r="A895" s="8"/>
      <c r="HT895" s="8"/>
      <c r="HU895" s="8"/>
      <c r="HV895" s="8"/>
      <c r="HW895" s="8"/>
      <c r="HX895" s="8"/>
      <c r="HY895" s="8"/>
      <c r="HZ895" s="8"/>
      <c r="IA895" s="8"/>
      <c r="IB895" s="8"/>
      <c r="IC895" s="8"/>
      <c r="ID895" s="8"/>
      <c r="IE895" s="8"/>
      <c r="IF895" s="8"/>
      <c r="IG895" s="8"/>
      <c r="IH895" s="8"/>
      <c r="II895" s="8"/>
      <c r="IJ895" s="8"/>
      <c r="IK895" s="8"/>
      <c r="IL895" s="8"/>
      <c r="IM895" s="8"/>
      <c r="IN895" s="8"/>
      <c r="IO895" s="8"/>
      <c r="IP895" s="8"/>
      <c r="IQ895" s="8"/>
      <c r="IR895" s="8"/>
      <c r="IS895" s="8"/>
      <c r="IT895" s="8"/>
      <c r="IU895" s="8"/>
      <c r="IV895" s="8"/>
    </row>
    <row r="896" ht="12.75" customHeight="1">
      <c r="A896" s="8"/>
      <c r="HT896" s="8"/>
      <c r="HU896" s="8"/>
      <c r="HV896" s="8"/>
      <c r="HW896" s="8"/>
      <c r="HX896" s="8"/>
      <c r="HY896" s="8"/>
      <c r="HZ896" s="8"/>
      <c r="IA896" s="8"/>
      <c r="IB896" s="8"/>
      <c r="IC896" s="8"/>
      <c r="ID896" s="8"/>
      <c r="IE896" s="8"/>
      <c r="IF896" s="8"/>
      <c r="IG896" s="8"/>
      <c r="IH896" s="8"/>
      <c r="II896" s="8"/>
      <c r="IJ896" s="8"/>
      <c r="IK896" s="8"/>
      <c r="IL896" s="8"/>
      <c r="IM896" s="8"/>
      <c r="IN896" s="8"/>
      <c r="IO896" s="8"/>
      <c r="IP896" s="8"/>
      <c r="IQ896" s="8"/>
      <c r="IR896" s="8"/>
      <c r="IS896" s="8"/>
      <c r="IT896" s="8"/>
      <c r="IU896" s="8"/>
      <c r="IV896" s="8"/>
    </row>
    <row r="897" ht="12.75" customHeight="1">
      <c r="A897" s="8"/>
      <c r="HT897" s="8"/>
      <c r="HU897" s="8"/>
      <c r="HV897" s="8"/>
      <c r="HW897" s="8"/>
      <c r="HX897" s="8"/>
      <c r="HY897" s="8"/>
      <c r="HZ897" s="8"/>
      <c r="IA897" s="8"/>
      <c r="IB897" s="8"/>
      <c r="IC897" s="8"/>
      <c r="ID897" s="8"/>
      <c r="IE897" s="8"/>
      <c r="IF897" s="8"/>
      <c r="IG897" s="8"/>
      <c r="IH897" s="8"/>
      <c r="II897" s="8"/>
      <c r="IJ897" s="8"/>
      <c r="IK897" s="8"/>
      <c r="IL897" s="8"/>
      <c r="IM897" s="8"/>
      <c r="IN897" s="8"/>
      <c r="IO897" s="8"/>
      <c r="IP897" s="8"/>
      <c r="IQ897" s="8"/>
      <c r="IR897" s="8"/>
      <c r="IS897" s="8"/>
      <c r="IT897" s="8"/>
      <c r="IU897" s="8"/>
      <c r="IV897" s="8"/>
    </row>
    <row r="898" ht="12.75" customHeight="1">
      <c r="A898" s="8"/>
      <c r="HT898" s="8"/>
      <c r="HU898" s="8"/>
      <c r="HV898" s="8"/>
      <c r="HW898" s="8"/>
      <c r="HX898" s="8"/>
      <c r="HY898" s="8"/>
      <c r="HZ898" s="8"/>
      <c r="IA898" s="8"/>
      <c r="IB898" s="8"/>
      <c r="IC898" s="8"/>
      <c r="ID898" s="8"/>
      <c r="IE898" s="8"/>
      <c r="IF898" s="8"/>
      <c r="IG898" s="8"/>
      <c r="IH898" s="8"/>
      <c r="II898" s="8"/>
      <c r="IJ898" s="8"/>
      <c r="IK898" s="8"/>
      <c r="IL898" s="8"/>
      <c r="IM898" s="8"/>
      <c r="IN898" s="8"/>
      <c r="IO898" s="8"/>
      <c r="IP898" s="8"/>
      <c r="IQ898" s="8"/>
      <c r="IR898" s="8"/>
      <c r="IS898" s="8"/>
      <c r="IT898" s="8"/>
      <c r="IU898" s="8"/>
      <c r="IV898" s="8"/>
    </row>
    <row r="899" ht="12.75" customHeight="1">
      <c r="A899" s="8"/>
      <c r="HT899" s="8"/>
      <c r="HU899" s="8"/>
      <c r="HV899" s="8"/>
      <c r="HW899" s="8"/>
      <c r="HX899" s="8"/>
      <c r="HY899" s="8"/>
      <c r="HZ899" s="8"/>
      <c r="IA899" s="8"/>
      <c r="IB899" s="8"/>
      <c r="IC899" s="8"/>
      <c r="ID899" s="8"/>
      <c r="IE899" s="8"/>
      <c r="IF899" s="8"/>
      <c r="IG899" s="8"/>
      <c r="IH899" s="8"/>
      <c r="II899" s="8"/>
      <c r="IJ899" s="8"/>
      <c r="IK899" s="8"/>
      <c r="IL899" s="8"/>
      <c r="IM899" s="8"/>
      <c r="IN899" s="8"/>
      <c r="IO899" s="8"/>
      <c r="IP899" s="8"/>
      <c r="IQ899" s="8"/>
      <c r="IR899" s="8"/>
      <c r="IS899" s="8"/>
      <c r="IT899" s="8"/>
      <c r="IU899" s="8"/>
      <c r="IV899" s="8"/>
    </row>
    <row r="900" ht="12.75" customHeight="1">
      <c r="A900" s="8"/>
      <c r="HT900" s="8"/>
      <c r="HU900" s="8"/>
      <c r="HV900" s="8"/>
      <c r="HW900" s="8"/>
      <c r="HX900" s="8"/>
      <c r="HY900" s="8"/>
      <c r="HZ900" s="8"/>
      <c r="IA900" s="8"/>
      <c r="IB900" s="8"/>
      <c r="IC900" s="8"/>
      <c r="ID900" s="8"/>
      <c r="IE900" s="8"/>
      <c r="IF900" s="8"/>
      <c r="IG900" s="8"/>
      <c r="IH900" s="8"/>
      <c r="II900" s="8"/>
      <c r="IJ900" s="8"/>
      <c r="IK900" s="8"/>
      <c r="IL900" s="8"/>
      <c r="IM900" s="8"/>
      <c r="IN900" s="8"/>
      <c r="IO900" s="8"/>
      <c r="IP900" s="8"/>
      <c r="IQ900" s="8"/>
      <c r="IR900" s="8"/>
      <c r="IS900" s="8"/>
      <c r="IT900" s="8"/>
      <c r="IU900" s="8"/>
      <c r="IV900" s="8"/>
    </row>
    <row r="901" ht="12.75" customHeight="1">
      <c r="A901" s="8"/>
      <c r="HT901" s="8"/>
      <c r="HU901" s="8"/>
      <c r="HV901" s="8"/>
      <c r="HW901" s="8"/>
      <c r="HX901" s="8"/>
      <c r="HY901" s="8"/>
      <c r="HZ901" s="8"/>
      <c r="IA901" s="8"/>
      <c r="IB901" s="8"/>
      <c r="IC901" s="8"/>
      <c r="ID901" s="8"/>
      <c r="IE901" s="8"/>
      <c r="IF901" s="8"/>
      <c r="IG901" s="8"/>
      <c r="IH901" s="8"/>
      <c r="II901" s="8"/>
      <c r="IJ901" s="8"/>
      <c r="IK901" s="8"/>
      <c r="IL901" s="8"/>
      <c r="IM901" s="8"/>
      <c r="IN901" s="8"/>
      <c r="IO901" s="8"/>
      <c r="IP901" s="8"/>
      <c r="IQ901" s="8"/>
      <c r="IR901" s="8"/>
      <c r="IS901" s="8"/>
      <c r="IT901" s="8"/>
      <c r="IU901" s="8"/>
      <c r="IV901" s="8"/>
    </row>
    <row r="902" ht="12.75" customHeight="1">
      <c r="A902" s="8"/>
      <c r="HT902" s="8"/>
      <c r="HU902" s="8"/>
      <c r="HV902" s="8"/>
      <c r="HW902" s="8"/>
      <c r="HX902" s="8"/>
      <c r="HY902" s="8"/>
      <c r="HZ902" s="8"/>
      <c r="IA902" s="8"/>
      <c r="IB902" s="8"/>
      <c r="IC902" s="8"/>
      <c r="ID902" s="8"/>
      <c r="IE902" s="8"/>
      <c r="IF902" s="8"/>
      <c r="IG902" s="8"/>
      <c r="IH902" s="8"/>
      <c r="II902" s="8"/>
      <c r="IJ902" s="8"/>
      <c r="IK902" s="8"/>
      <c r="IL902" s="8"/>
      <c r="IM902" s="8"/>
      <c r="IN902" s="8"/>
      <c r="IO902" s="8"/>
      <c r="IP902" s="8"/>
      <c r="IQ902" s="8"/>
      <c r="IR902" s="8"/>
      <c r="IS902" s="8"/>
      <c r="IT902" s="8"/>
      <c r="IU902" s="8"/>
      <c r="IV902" s="8"/>
    </row>
    <row r="903" ht="12.75" customHeight="1">
      <c r="A903" s="8"/>
      <c r="HT903" s="8"/>
      <c r="HU903" s="8"/>
      <c r="HV903" s="8"/>
      <c r="HW903" s="8"/>
      <c r="HX903" s="8"/>
      <c r="HY903" s="8"/>
      <c r="HZ903" s="8"/>
      <c r="IA903" s="8"/>
      <c r="IB903" s="8"/>
      <c r="IC903" s="8"/>
      <c r="ID903" s="8"/>
      <c r="IE903" s="8"/>
      <c r="IF903" s="8"/>
      <c r="IG903" s="8"/>
      <c r="IH903" s="8"/>
      <c r="II903" s="8"/>
      <c r="IJ903" s="8"/>
      <c r="IK903" s="8"/>
      <c r="IL903" s="8"/>
      <c r="IM903" s="8"/>
      <c r="IN903" s="8"/>
      <c r="IO903" s="8"/>
      <c r="IP903" s="8"/>
      <c r="IQ903" s="8"/>
      <c r="IR903" s="8"/>
      <c r="IS903" s="8"/>
      <c r="IT903" s="8"/>
      <c r="IU903" s="8"/>
      <c r="IV903" s="8"/>
    </row>
    <row r="904" ht="12.75" customHeight="1">
      <c r="A904" s="8"/>
      <c r="HT904" s="8"/>
      <c r="HU904" s="8"/>
      <c r="HV904" s="8"/>
      <c r="HW904" s="8"/>
      <c r="HX904" s="8"/>
      <c r="HY904" s="8"/>
      <c r="HZ904" s="8"/>
      <c r="IA904" s="8"/>
      <c r="IB904" s="8"/>
      <c r="IC904" s="8"/>
      <c r="ID904" s="8"/>
      <c r="IE904" s="8"/>
      <c r="IF904" s="8"/>
      <c r="IG904" s="8"/>
      <c r="IH904" s="8"/>
      <c r="II904" s="8"/>
      <c r="IJ904" s="8"/>
      <c r="IK904" s="8"/>
      <c r="IL904" s="8"/>
      <c r="IM904" s="8"/>
      <c r="IN904" s="8"/>
      <c r="IO904" s="8"/>
      <c r="IP904" s="8"/>
      <c r="IQ904" s="8"/>
      <c r="IR904" s="8"/>
      <c r="IS904" s="8"/>
      <c r="IT904" s="8"/>
      <c r="IU904" s="8"/>
      <c r="IV904" s="8"/>
    </row>
    <row r="905" ht="12.75" customHeight="1">
      <c r="A905" s="8"/>
      <c r="HT905" s="8"/>
      <c r="HU905" s="8"/>
      <c r="HV905" s="8"/>
      <c r="HW905" s="8"/>
      <c r="HX905" s="8"/>
      <c r="HY905" s="8"/>
      <c r="HZ905" s="8"/>
      <c r="IA905" s="8"/>
      <c r="IB905" s="8"/>
      <c r="IC905" s="8"/>
      <c r="ID905" s="8"/>
      <c r="IE905" s="8"/>
      <c r="IF905" s="8"/>
      <c r="IG905" s="8"/>
      <c r="IH905" s="8"/>
      <c r="II905" s="8"/>
      <c r="IJ905" s="8"/>
      <c r="IK905" s="8"/>
      <c r="IL905" s="8"/>
      <c r="IM905" s="8"/>
      <c r="IN905" s="8"/>
      <c r="IO905" s="8"/>
      <c r="IP905" s="8"/>
      <c r="IQ905" s="8"/>
      <c r="IR905" s="8"/>
      <c r="IS905" s="8"/>
      <c r="IT905" s="8"/>
      <c r="IU905" s="8"/>
      <c r="IV905" s="8"/>
    </row>
    <row r="906" ht="12.75" customHeight="1">
      <c r="A906" s="8"/>
      <c r="HT906" s="8"/>
      <c r="HU906" s="8"/>
      <c r="HV906" s="8"/>
      <c r="HW906" s="8"/>
      <c r="HX906" s="8"/>
      <c r="HY906" s="8"/>
      <c r="HZ906" s="8"/>
      <c r="IA906" s="8"/>
      <c r="IB906" s="8"/>
      <c r="IC906" s="8"/>
      <c r="ID906" s="8"/>
      <c r="IE906" s="8"/>
      <c r="IF906" s="8"/>
      <c r="IG906" s="8"/>
      <c r="IH906" s="8"/>
      <c r="II906" s="8"/>
      <c r="IJ906" s="8"/>
      <c r="IK906" s="8"/>
      <c r="IL906" s="8"/>
      <c r="IM906" s="8"/>
      <c r="IN906" s="8"/>
      <c r="IO906" s="8"/>
      <c r="IP906" s="8"/>
      <c r="IQ906" s="8"/>
      <c r="IR906" s="8"/>
      <c r="IS906" s="8"/>
      <c r="IT906" s="8"/>
      <c r="IU906" s="8"/>
      <c r="IV906" s="8"/>
    </row>
    <row r="907" ht="12.75" customHeight="1">
      <c r="A907" s="8"/>
      <c r="HT907" s="8"/>
      <c r="HU907" s="8"/>
      <c r="HV907" s="8"/>
      <c r="HW907" s="8"/>
      <c r="HX907" s="8"/>
      <c r="HY907" s="8"/>
      <c r="HZ907" s="8"/>
      <c r="IA907" s="8"/>
      <c r="IB907" s="8"/>
      <c r="IC907" s="8"/>
      <c r="ID907" s="8"/>
      <c r="IE907" s="8"/>
      <c r="IF907" s="8"/>
      <c r="IG907" s="8"/>
      <c r="IH907" s="8"/>
      <c r="II907" s="8"/>
      <c r="IJ907" s="8"/>
      <c r="IK907" s="8"/>
      <c r="IL907" s="8"/>
      <c r="IM907" s="8"/>
      <c r="IN907" s="8"/>
      <c r="IO907" s="8"/>
      <c r="IP907" s="8"/>
      <c r="IQ907" s="8"/>
      <c r="IR907" s="8"/>
      <c r="IS907" s="8"/>
      <c r="IT907" s="8"/>
      <c r="IU907" s="8"/>
      <c r="IV907" s="8"/>
    </row>
    <row r="908" ht="12.75" customHeight="1">
      <c r="A908" s="8"/>
      <c r="HT908" s="8"/>
      <c r="HU908" s="8"/>
      <c r="HV908" s="8"/>
      <c r="HW908" s="8"/>
      <c r="HX908" s="8"/>
      <c r="HY908" s="8"/>
      <c r="HZ908" s="8"/>
      <c r="IA908" s="8"/>
      <c r="IB908" s="8"/>
      <c r="IC908" s="8"/>
      <c r="ID908" s="8"/>
      <c r="IE908" s="8"/>
      <c r="IF908" s="8"/>
      <c r="IG908" s="8"/>
      <c r="IH908" s="8"/>
      <c r="II908" s="8"/>
      <c r="IJ908" s="8"/>
      <c r="IK908" s="8"/>
      <c r="IL908" s="8"/>
      <c r="IM908" s="8"/>
      <c r="IN908" s="8"/>
      <c r="IO908" s="8"/>
      <c r="IP908" s="8"/>
      <c r="IQ908" s="8"/>
      <c r="IR908" s="8"/>
      <c r="IS908" s="8"/>
      <c r="IT908" s="8"/>
      <c r="IU908" s="8"/>
      <c r="IV908" s="8"/>
    </row>
    <row r="909" ht="12.75" customHeight="1">
      <c r="A909" s="8"/>
      <c r="HT909" s="8"/>
      <c r="HU909" s="8"/>
      <c r="HV909" s="8"/>
      <c r="HW909" s="8"/>
      <c r="HX909" s="8"/>
      <c r="HY909" s="8"/>
      <c r="HZ909" s="8"/>
      <c r="IA909" s="8"/>
      <c r="IB909" s="8"/>
      <c r="IC909" s="8"/>
      <c r="ID909" s="8"/>
      <c r="IE909" s="8"/>
      <c r="IF909" s="8"/>
      <c r="IG909" s="8"/>
      <c r="IH909" s="8"/>
      <c r="II909" s="8"/>
      <c r="IJ909" s="8"/>
      <c r="IK909" s="8"/>
      <c r="IL909" s="8"/>
      <c r="IM909" s="8"/>
      <c r="IN909" s="8"/>
      <c r="IO909" s="8"/>
      <c r="IP909" s="8"/>
      <c r="IQ909" s="8"/>
      <c r="IR909" s="8"/>
      <c r="IS909" s="8"/>
      <c r="IT909" s="8"/>
      <c r="IU909" s="8"/>
      <c r="IV909" s="8"/>
    </row>
    <row r="910" ht="12.75" customHeight="1">
      <c r="A910" s="8"/>
      <c r="HT910" s="8"/>
      <c r="HU910" s="8"/>
      <c r="HV910" s="8"/>
      <c r="HW910" s="8"/>
      <c r="HX910" s="8"/>
      <c r="HY910" s="8"/>
      <c r="HZ910" s="8"/>
      <c r="IA910" s="8"/>
      <c r="IB910" s="8"/>
      <c r="IC910" s="8"/>
      <c r="ID910" s="8"/>
      <c r="IE910" s="8"/>
      <c r="IF910" s="8"/>
      <c r="IG910" s="8"/>
      <c r="IH910" s="8"/>
      <c r="II910" s="8"/>
      <c r="IJ910" s="8"/>
      <c r="IK910" s="8"/>
      <c r="IL910" s="8"/>
      <c r="IM910" s="8"/>
      <c r="IN910" s="8"/>
      <c r="IO910" s="8"/>
      <c r="IP910" s="8"/>
      <c r="IQ910" s="8"/>
      <c r="IR910" s="8"/>
      <c r="IS910" s="8"/>
      <c r="IT910" s="8"/>
      <c r="IU910" s="8"/>
      <c r="IV910" s="8"/>
    </row>
    <row r="911" ht="12.75" customHeight="1">
      <c r="A911" s="8"/>
      <c r="HT911" s="8"/>
      <c r="HU911" s="8"/>
      <c r="HV911" s="8"/>
      <c r="HW911" s="8"/>
      <c r="HX911" s="8"/>
      <c r="HY911" s="8"/>
      <c r="HZ911" s="8"/>
      <c r="IA911" s="8"/>
      <c r="IB911" s="8"/>
      <c r="IC911" s="8"/>
      <c r="ID911" s="8"/>
      <c r="IE911" s="8"/>
      <c r="IF911" s="8"/>
      <c r="IG911" s="8"/>
      <c r="IH911" s="8"/>
      <c r="II911" s="8"/>
      <c r="IJ911" s="8"/>
      <c r="IK911" s="8"/>
      <c r="IL911" s="8"/>
      <c r="IM911" s="8"/>
      <c r="IN911" s="8"/>
      <c r="IO911" s="8"/>
      <c r="IP911" s="8"/>
      <c r="IQ911" s="8"/>
      <c r="IR911" s="8"/>
      <c r="IS911" s="8"/>
      <c r="IT911" s="8"/>
      <c r="IU911" s="8"/>
      <c r="IV911" s="8"/>
    </row>
    <row r="912" ht="12.75" customHeight="1">
      <c r="A912" s="8"/>
      <c r="HT912" s="8"/>
      <c r="HU912" s="8"/>
      <c r="HV912" s="8"/>
      <c r="HW912" s="8"/>
      <c r="HX912" s="8"/>
      <c r="HY912" s="8"/>
      <c r="HZ912" s="8"/>
      <c r="IA912" s="8"/>
      <c r="IB912" s="8"/>
      <c r="IC912" s="8"/>
      <c r="ID912" s="8"/>
      <c r="IE912" s="8"/>
      <c r="IF912" s="8"/>
      <c r="IG912" s="8"/>
      <c r="IH912" s="8"/>
      <c r="II912" s="8"/>
      <c r="IJ912" s="8"/>
      <c r="IK912" s="8"/>
      <c r="IL912" s="8"/>
      <c r="IM912" s="8"/>
      <c r="IN912" s="8"/>
      <c r="IO912" s="8"/>
      <c r="IP912" s="8"/>
      <c r="IQ912" s="8"/>
      <c r="IR912" s="8"/>
      <c r="IS912" s="8"/>
      <c r="IT912" s="8"/>
      <c r="IU912" s="8"/>
      <c r="IV912" s="8"/>
    </row>
    <row r="913" ht="12.75" customHeight="1">
      <c r="A913" s="8"/>
      <c r="HT913" s="8"/>
      <c r="HU913" s="8"/>
      <c r="HV913" s="8"/>
      <c r="HW913" s="8"/>
      <c r="HX913" s="8"/>
      <c r="HY913" s="8"/>
      <c r="HZ913" s="8"/>
      <c r="IA913" s="8"/>
      <c r="IB913" s="8"/>
      <c r="IC913" s="8"/>
      <c r="ID913" s="8"/>
      <c r="IE913" s="8"/>
      <c r="IF913" s="8"/>
      <c r="IG913" s="8"/>
      <c r="IH913" s="8"/>
      <c r="II913" s="8"/>
      <c r="IJ913" s="8"/>
      <c r="IK913" s="8"/>
      <c r="IL913" s="8"/>
      <c r="IM913" s="8"/>
      <c r="IN913" s="8"/>
      <c r="IO913" s="8"/>
      <c r="IP913" s="8"/>
      <c r="IQ913" s="8"/>
      <c r="IR913" s="8"/>
      <c r="IS913" s="8"/>
      <c r="IT913" s="8"/>
      <c r="IU913" s="8"/>
      <c r="IV913" s="8"/>
    </row>
    <row r="914" ht="12.75" customHeight="1">
      <c r="A914" s="8"/>
      <c r="HT914" s="8"/>
      <c r="HU914" s="8"/>
      <c r="HV914" s="8"/>
      <c r="HW914" s="8"/>
      <c r="HX914" s="8"/>
      <c r="HY914" s="8"/>
      <c r="HZ914" s="8"/>
      <c r="IA914" s="8"/>
      <c r="IB914" s="8"/>
      <c r="IC914" s="8"/>
      <c r="ID914" s="8"/>
      <c r="IE914" s="8"/>
      <c r="IF914" s="8"/>
      <c r="IG914" s="8"/>
      <c r="IH914" s="8"/>
      <c r="II914" s="8"/>
      <c r="IJ914" s="8"/>
      <c r="IK914" s="8"/>
      <c r="IL914" s="8"/>
      <c r="IM914" s="8"/>
      <c r="IN914" s="8"/>
      <c r="IO914" s="8"/>
      <c r="IP914" s="8"/>
      <c r="IQ914" s="8"/>
      <c r="IR914" s="8"/>
      <c r="IS914" s="8"/>
      <c r="IT914" s="8"/>
      <c r="IU914" s="8"/>
      <c r="IV914" s="8"/>
    </row>
    <row r="915" ht="12.75" customHeight="1">
      <c r="A915" s="8"/>
      <c r="HT915" s="8"/>
      <c r="HU915" s="8"/>
      <c r="HV915" s="8"/>
      <c r="HW915" s="8"/>
      <c r="HX915" s="8"/>
      <c r="HY915" s="8"/>
      <c r="HZ915" s="8"/>
      <c r="IA915" s="8"/>
      <c r="IB915" s="8"/>
      <c r="IC915" s="8"/>
      <c r="ID915" s="8"/>
      <c r="IE915" s="8"/>
      <c r="IF915" s="8"/>
      <c r="IG915" s="8"/>
      <c r="IH915" s="8"/>
      <c r="II915" s="8"/>
      <c r="IJ915" s="8"/>
      <c r="IK915" s="8"/>
      <c r="IL915" s="8"/>
      <c r="IM915" s="8"/>
      <c r="IN915" s="8"/>
      <c r="IO915" s="8"/>
      <c r="IP915" s="8"/>
      <c r="IQ915" s="8"/>
      <c r="IR915" s="8"/>
      <c r="IS915" s="8"/>
      <c r="IT915" s="8"/>
      <c r="IU915" s="8"/>
      <c r="IV915" s="8"/>
    </row>
    <row r="916" ht="12.75" customHeight="1">
      <c r="A916" s="8"/>
      <c r="HT916" s="8"/>
      <c r="HU916" s="8"/>
      <c r="HV916" s="8"/>
      <c r="HW916" s="8"/>
      <c r="HX916" s="8"/>
      <c r="HY916" s="8"/>
      <c r="HZ916" s="8"/>
      <c r="IA916" s="8"/>
      <c r="IB916" s="8"/>
      <c r="IC916" s="8"/>
      <c r="ID916" s="8"/>
      <c r="IE916" s="8"/>
      <c r="IF916" s="8"/>
      <c r="IG916" s="8"/>
      <c r="IH916" s="8"/>
      <c r="II916" s="8"/>
      <c r="IJ916" s="8"/>
      <c r="IK916" s="8"/>
      <c r="IL916" s="8"/>
      <c r="IM916" s="8"/>
      <c r="IN916" s="8"/>
      <c r="IO916" s="8"/>
      <c r="IP916" s="8"/>
      <c r="IQ916" s="8"/>
      <c r="IR916" s="8"/>
      <c r="IS916" s="8"/>
      <c r="IT916" s="8"/>
      <c r="IU916" s="8"/>
      <c r="IV916" s="8"/>
    </row>
    <row r="917" ht="12.75" customHeight="1">
      <c r="A917" s="8"/>
      <c r="HT917" s="8"/>
      <c r="HU917" s="8"/>
      <c r="HV917" s="8"/>
      <c r="HW917" s="8"/>
      <c r="HX917" s="8"/>
      <c r="HY917" s="8"/>
      <c r="HZ917" s="8"/>
      <c r="IA917" s="8"/>
      <c r="IB917" s="8"/>
      <c r="IC917" s="8"/>
      <c r="ID917" s="8"/>
      <c r="IE917" s="8"/>
      <c r="IF917" s="8"/>
      <c r="IG917" s="8"/>
      <c r="IH917" s="8"/>
      <c r="II917" s="8"/>
      <c r="IJ917" s="8"/>
      <c r="IK917" s="8"/>
      <c r="IL917" s="8"/>
      <c r="IM917" s="8"/>
      <c r="IN917" s="8"/>
      <c r="IO917" s="8"/>
      <c r="IP917" s="8"/>
      <c r="IQ917" s="8"/>
      <c r="IR917" s="8"/>
      <c r="IS917" s="8"/>
      <c r="IT917" s="8"/>
      <c r="IU917" s="8"/>
      <c r="IV917" s="8"/>
    </row>
    <row r="918" ht="12.75" customHeight="1">
      <c r="A918" s="8"/>
      <c r="HT918" s="8"/>
      <c r="HU918" s="8"/>
      <c r="HV918" s="8"/>
      <c r="HW918" s="8"/>
      <c r="HX918" s="8"/>
      <c r="HY918" s="8"/>
      <c r="HZ918" s="8"/>
      <c r="IA918" s="8"/>
      <c r="IB918" s="8"/>
      <c r="IC918" s="8"/>
      <c r="ID918" s="8"/>
      <c r="IE918" s="8"/>
      <c r="IF918" s="8"/>
      <c r="IG918" s="8"/>
      <c r="IH918" s="8"/>
      <c r="II918" s="8"/>
      <c r="IJ918" s="8"/>
      <c r="IK918" s="8"/>
      <c r="IL918" s="8"/>
      <c r="IM918" s="8"/>
      <c r="IN918" s="8"/>
      <c r="IO918" s="8"/>
      <c r="IP918" s="8"/>
      <c r="IQ918" s="8"/>
      <c r="IR918" s="8"/>
      <c r="IS918" s="8"/>
      <c r="IT918" s="8"/>
      <c r="IU918" s="8"/>
      <c r="IV918" s="8"/>
    </row>
    <row r="919" ht="12.75" customHeight="1">
      <c r="A919" s="8"/>
      <c r="HT919" s="8"/>
      <c r="HU919" s="8"/>
      <c r="HV919" s="8"/>
      <c r="HW919" s="8"/>
      <c r="HX919" s="8"/>
      <c r="HY919" s="8"/>
      <c r="HZ919" s="8"/>
      <c r="IA919" s="8"/>
      <c r="IB919" s="8"/>
      <c r="IC919" s="8"/>
      <c r="ID919" s="8"/>
      <c r="IE919" s="8"/>
      <c r="IF919" s="8"/>
      <c r="IG919" s="8"/>
      <c r="IH919" s="8"/>
      <c r="II919" s="8"/>
      <c r="IJ919" s="8"/>
      <c r="IK919" s="8"/>
      <c r="IL919" s="8"/>
      <c r="IM919" s="8"/>
      <c r="IN919" s="8"/>
      <c r="IO919" s="8"/>
      <c r="IP919" s="8"/>
      <c r="IQ919" s="8"/>
      <c r="IR919" s="8"/>
      <c r="IS919" s="8"/>
      <c r="IT919" s="8"/>
      <c r="IU919" s="8"/>
      <c r="IV919" s="8"/>
    </row>
    <row r="920" ht="12.75" customHeight="1">
      <c r="A920" s="8"/>
      <c r="HT920" s="8"/>
      <c r="HU920" s="8"/>
      <c r="HV920" s="8"/>
      <c r="HW920" s="8"/>
      <c r="HX920" s="8"/>
      <c r="HY920" s="8"/>
      <c r="HZ920" s="8"/>
      <c r="IA920" s="8"/>
      <c r="IB920" s="8"/>
      <c r="IC920" s="8"/>
      <c r="ID920" s="8"/>
      <c r="IE920" s="8"/>
      <c r="IF920" s="8"/>
      <c r="IG920" s="8"/>
      <c r="IH920" s="8"/>
      <c r="II920" s="8"/>
      <c r="IJ920" s="8"/>
      <c r="IK920" s="8"/>
      <c r="IL920" s="8"/>
      <c r="IM920" s="8"/>
      <c r="IN920" s="8"/>
      <c r="IO920" s="8"/>
      <c r="IP920" s="8"/>
      <c r="IQ920" s="8"/>
      <c r="IR920" s="8"/>
      <c r="IS920" s="8"/>
      <c r="IT920" s="8"/>
      <c r="IU920" s="8"/>
      <c r="IV920" s="8"/>
    </row>
    <row r="921" ht="12.75" customHeight="1">
      <c r="A921" s="8"/>
      <c r="HT921" s="8"/>
      <c r="HU921" s="8"/>
      <c r="HV921" s="8"/>
      <c r="HW921" s="8"/>
      <c r="HX921" s="8"/>
      <c r="HY921" s="8"/>
      <c r="HZ921" s="8"/>
      <c r="IA921" s="8"/>
      <c r="IB921" s="8"/>
      <c r="IC921" s="8"/>
      <c r="ID921" s="8"/>
      <c r="IE921" s="8"/>
      <c r="IF921" s="8"/>
      <c r="IG921" s="8"/>
      <c r="IH921" s="8"/>
      <c r="II921" s="8"/>
      <c r="IJ921" s="8"/>
      <c r="IK921" s="8"/>
      <c r="IL921" s="8"/>
      <c r="IM921" s="8"/>
      <c r="IN921" s="8"/>
      <c r="IO921" s="8"/>
      <c r="IP921" s="8"/>
      <c r="IQ921" s="8"/>
      <c r="IR921" s="8"/>
      <c r="IS921" s="8"/>
      <c r="IT921" s="8"/>
      <c r="IU921" s="8"/>
      <c r="IV921" s="8"/>
    </row>
    <row r="922" ht="12.75" customHeight="1">
      <c r="A922" s="8"/>
      <c r="HT922" s="8"/>
      <c r="HU922" s="8"/>
      <c r="HV922" s="8"/>
      <c r="HW922" s="8"/>
      <c r="HX922" s="8"/>
      <c r="HY922" s="8"/>
      <c r="HZ922" s="8"/>
      <c r="IA922" s="8"/>
      <c r="IB922" s="8"/>
      <c r="IC922" s="8"/>
      <c r="ID922" s="8"/>
      <c r="IE922" s="8"/>
      <c r="IF922" s="8"/>
      <c r="IG922" s="8"/>
      <c r="IH922" s="8"/>
      <c r="II922" s="8"/>
      <c r="IJ922" s="8"/>
      <c r="IK922" s="8"/>
      <c r="IL922" s="8"/>
      <c r="IM922" s="8"/>
      <c r="IN922" s="8"/>
      <c r="IO922" s="8"/>
      <c r="IP922" s="8"/>
      <c r="IQ922" s="8"/>
      <c r="IR922" s="8"/>
      <c r="IS922" s="8"/>
      <c r="IT922" s="8"/>
      <c r="IU922" s="8"/>
      <c r="IV922" s="8"/>
    </row>
    <row r="923" ht="12.75" customHeight="1">
      <c r="A923" s="8"/>
      <c r="HT923" s="8"/>
      <c r="HU923" s="8"/>
      <c r="HV923" s="8"/>
      <c r="HW923" s="8"/>
      <c r="HX923" s="8"/>
      <c r="HY923" s="8"/>
      <c r="HZ923" s="8"/>
      <c r="IA923" s="8"/>
      <c r="IB923" s="8"/>
      <c r="IC923" s="8"/>
      <c r="ID923" s="8"/>
      <c r="IE923" s="8"/>
      <c r="IF923" s="8"/>
      <c r="IG923" s="8"/>
      <c r="IH923" s="8"/>
      <c r="II923" s="8"/>
      <c r="IJ923" s="8"/>
      <c r="IK923" s="8"/>
      <c r="IL923" s="8"/>
      <c r="IM923" s="8"/>
      <c r="IN923" s="8"/>
      <c r="IO923" s="8"/>
      <c r="IP923" s="8"/>
      <c r="IQ923" s="8"/>
      <c r="IR923" s="8"/>
      <c r="IS923" s="8"/>
      <c r="IT923" s="8"/>
      <c r="IU923" s="8"/>
      <c r="IV923" s="8"/>
    </row>
    <row r="924" ht="12.75" customHeight="1">
      <c r="A924" s="8"/>
      <c r="HT924" s="8"/>
      <c r="HU924" s="8"/>
      <c r="HV924" s="8"/>
      <c r="HW924" s="8"/>
      <c r="HX924" s="8"/>
      <c r="HY924" s="8"/>
      <c r="HZ924" s="8"/>
      <c r="IA924" s="8"/>
      <c r="IB924" s="8"/>
      <c r="IC924" s="8"/>
      <c r="ID924" s="8"/>
      <c r="IE924" s="8"/>
      <c r="IF924" s="8"/>
      <c r="IG924" s="8"/>
      <c r="IH924" s="8"/>
      <c r="II924" s="8"/>
      <c r="IJ924" s="8"/>
      <c r="IK924" s="8"/>
      <c r="IL924" s="8"/>
      <c r="IM924" s="8"/>
      <c r="IN924" s="8"/>
      <c r="IO924" s="8"/>
      <c r="IP924" s="8"/>
      <c r="IQ924" s="8"/>
      <c r="IR924" s="8"/>
      <c r="IS924" s="8"/>
      <c r="IT924" s="8"/>
      <c r="IU924" s="8"/>
      <c r="IV924" s="8"/>
    </row>
    <row r="925" ht="12.75" customHeight="1">
      <c r="A925" s="8"/>
      <c r="HT925" s="8"/>
      <c r="HU925" s="8"/>
      <c r="HV925" s="8"/>
      <c r="HW925" s="8"/>
      <c r="HX925" s="8"/>
      <c r="HY925" s="8"/>
      <c r="HZ925" s="8"/>
      <c r="IA925" s="8"/>
      <c r="IB925" s="8"/>
      <c r="IC925" s="8"/>
      <c r="ID925" s="8"/>
      <c r="IE925" s="8"/>
      <c r="IF925" s="8"/>
      <c r="IG925" s="8"/>
      <c r="IH925" s="8"/>
      <c r="II925" s="8"/>
      <c r="IJ925" s="8"/>
      <c r="IK925" s="8"/>
      <c r="IL925" s="8"/>
      <c r="IM925" s="8"/>
      <c r="IN925" s="8"/>
      <c r="IO925" s="8"/>
      <c r="IP925" s="8"/>
      <c r="IQ925" s="8"/>
      <c r="IR925" s="8"/>
      <c r="IS925" s="8"/>
      <c r="IT925" s="8"/>
      <c r="IU925" s="8"/>
      <c r="IV925" s="8"/>
    </row>
    <row r="926" ht="12.75" customHeight="1">
      <c r="A926" s="8"/>
      <c r="HT926" s="8"/>
      <c r="HU926" s="8"/>
      <c r="HV926" s="8"/>
      <c r="HW926" s="8"/>
      <c r="HX926" s="8"/>
      <c r="HY926" s="8"/>
      <c r="HZ926" s="8"/>
      <c r="IA926" s="8"/>
      <c r="IB926" s="8"/>
      <c r="IC926" s="8"/>
      <c r="ID926" s="8"/>
      <c r="IE926" s="8"/>
      <c r="IF926" s="8"/>
      <c r="IG926" s="8"/>
      <c r="IH926" s="8"/>
      <c r="II926" s="8"/>
      <c r="IJ926" s="8"/>
      <c r="IK926" s="8"/>
      <c r="IL926" s="8"/>
      <c r="IM926" s="8"/>
      <c r="IN926" s="8"/>
      <c r="IO926" s="8"/>
      <c r="IP926" s="8"/>
      <c r="IQ926" s="8"/>
      <c r="IR926" s="8"/>
      <c r="IS926" s="8"/>
      <c r="IT926" s="8"/>
      <c r="IU926" s="8"/>
      <c r="IV926" s="8"/>
    </row>
    <row r="927" ht="12.75" customHeight="1">
      <c r="A927" s="8"/>
      <c r="HT927" s="8"/>
      <c r="HU927" s="8"/>
      <c r="HV927" s="8"/>
      <c r="HW927" s="8"/>
      <c r="HX927" s="8"/>
      <c r="HY927" s="8"/>
      <c r="HZ927" s="8"/>
      <c r="IA927" s="8"/>
      <c r="IB927" s="8"/>
      <c r="IC927" s="8"/>
      <c r="ID927" s="8"/>
      <c r="IE927" s="8"/>
      <c r="IF927" s="8"/>
      <c r="IG927" s="8"/>
      <c r="IH927" s="8"/>
      <c r="II927" s="8"/>
      <c r="IJ927" s="8"/>
      <c r="IK927" s="8"/>
      <c r="IL927" s="8"/>
      <c r="IM927" s="8"/>
      <c r="IN927" s="8"/>
      <c r="IO927" s="8"/>
      <c r="IP927" s="8"/>
      <c r="IQ927" s="8"/>
      <c r="IR927" s="8"/>
      <c r="IS927" s="8"/>
      <c r="IT927" s="8"/>
      <c r="IU927" s="8"/>
      <c r="IV927" s="8"/>
    </row>
    <row r="928" ht="12.75" customHeight="1">
      <c r="A928" s="8"/>
      <c r="HT928" s="8"/>
      <c r="HU928" s="8"/>
      <c r="HV928" s="8"/>
      <c r="HW928" s="8"/>
      <c r="HX928" s="8"/>
      <c r="HY928" s="8"/>
      <c r="HZ928" s="8"/>
      <c r="IA928" s="8"/>
      <c r="IB928" s="8"/>
      <c r="IC928" s="8"/>
      <c r="ID928" s="8"/>
      <c r="IE928" s="8"/>
      <c r="IF928" s="8"/>
      <c r="IG928" s="8"/>
      <c r="IH928" s="8"/>
      <c r="II928" s="8"/>
      <c r="IJ928" s="8"/>
      <c r="IK928" s="8"/>
      <c r="IL928" s="8"/>
      <c r="IM928" s="8"/>
      <c r="IN928" s="8"/>
      <c r="IO928" s="8"/>
      <c r="IP928" s="8"/>
      <c r="IQ928" s="8"/>
      <c r="IR928" s="8"/>
      <c r="IS928" s="8"/>
      <c r="IT928" s="8"/>
      <c r="IU928" s="8"/>
      <c r="IV928" s="8"/>
    </row>
    <row r="929" ht="12.75" customHeight="1">
      <c r="A929" s="8"/>
      <c r="HT929" s="8"/>
      <c r="HU929" s="8"/>
      <c r="HV929" s="8"/>
      <c r="HW929" s="8"/>
      <c r="HX929" s="8"/>
      <c r="HY929" s="8"/>
      <c r="HZ929" s="8"/>
      <c r="IA929" s="8"/>
      <c r="IB929" s="8"/>
      <c r="IC929" s="8"/>
      <c r="ID929" s="8"/>
      <c r="IE929" s="8"/>
      <c r="IF929" s="8"/>
      <c r="IG929" s="8"/>
      <c r="IH929" s="8"/>
      <c r="II929" s="8"/>
      <c r="IJ929" s="8"/>
      <c r="IK929" s="8"/>
      <c r="IL929" s="8"/>
      <c r="IM929" s="8"/>
      <c r="IN929" s="8"/>
      <c r="IO929" s="8"/>
      <c r="IP929" s="8"/>
      <c r="IQ929" s="8"/>
      <c r="IR929" s="8"/>
      <c r="IS929" s="8"/>
      <c r="IT929" s="8"/>
      <c r="IU929" s="8"/>
      <c r="IV929" s="8"/>
    </row>
    <row r="930" ht="12.75" customHeight="1">
      <c r="A930" s="8"/>
      <c r="HT930" s="8"/>
      <c r="HU930" s="8"/>
      <c r="HV930" s="8"/>
      <c r="HW930" s="8"/>
      <c r="HX930" s="8"/>
      <c r="HY930" s="8"/>
      <c r="HZ930" s="8"/>
      <c r="IA930" s="8"/>
      <c r="IB930" s="8"/>
      <c r="IC930" s="8"/>
      <c r="ID930" s="8"/>
      <c r="IE930" s="8"/>
      <c r="IF930" s="8"/>
      <c r="IG930" s="8"/>
      <c r="IH930" s="8"/>
      <c r="II930" s="8"/>
      <c r="IJ930" s="8"/>
      <c r="IK930" s="8"/>
      <c r="IL930" s="8"/>
      <c r="IM930" s="8"/>
      <c r="IN930" s="8"/>
      <c r="IO930" s="8"/>
      <c r="IP930" s="8"/>
      <c r="IQ930" s="8"/>
      <c r="IR930" s="8"/>
      <c r="IS930" s="8"/>
      <c r="IT930" s="8"/>
      <c r="IU930" s="8"/>
      <c r="IV930" s="8"/>
    </row>
    <row r="931" ht="12.75" customHeight="1">
      <c r="A931" s="8"/>
      <c r="HT931" s="8"/>
      <c r="HU931" s="8"/>
      <c r="HV931" s="8"/>
      <c r="HW931" s="8"/>
      <c r="HX931" s="8"/>
      <c r="HY931" s="8"/>
      <c r="HZ931" s="8"/>
      <c r="IA931" s="8"/>
      <c r="IB931" s="8"/>
      <c r="IC931" s="8"/>
      <c r="ID931" s="8"/>
      <c r="IE931" s="8"/>
      <c r="IF931" s="8"/>
      <c r="IG931" s="8"/>
      <c r="IH931" s="8"/>
      <c r="II931" s="8"/>
      <c r="IJ931" s="8"/>
      <c r="IK931" s="8"/>
      <c r="IL931" s="8"/>
      <c r="IM931" s="8"/>
      <c r="IN931" s="8"/>
      <c r="IO931" s="8"/>
      <c r="IP931" s="8"/>
      <c r="IQ931" s="8"/>
      <c r="IR931" s="8"/>
      <c r="IS931" s="8"/>
      <c r="IT931" s="8"/>
      <c r="IU931" s="8"/>
      <c r="IV931" s="8"/>
    </row>
    <row r="932" ht="12.75" customHeight="1">
      <c r="A932" s="8"/>
      <c r="HT932" s="8"/>
      <c r="HU932" s="8"/>
      <c r="HV932" s="8"/>
      <c r="HW932" s="8"/>
      <c r="HX932" s="8"/>
      <c r="HY932" s="8"/>
      <c r="HZ932" s="8"/>
      <c r="IA932" s="8"/>
      <c r="IB932" s="8"/>
      <c r="IC932" s="8"/>
      <c r="ID932" s="8"/>
      <c r="IE932" s="8"/>
      <c r="IF932" s="8"/>
      <c r="IG932" s="8"/>
      <c r="IH932" s="8"/>
      <c r="II932" s="8"/>
      <c r="IJ932" s="8"/>
      <c r="IK932" s="8"/>
      <c r="IL932" s="8"/>
      <c r="IM932" s="8"/>
      <c r="IN932" s="8"/>
      <c r="IO932" s="8"/>
      <c r="IP932" s="8"/>
      <c r="IQ932" s="8"/>
      <c r="IR932" s="8"/>
      <c r="IS932" s="8"/>
      <c r="IT932" s="8"/>
      <c r="IU932" s="8"/>
      <c r="IV932" s="8"/>
    </row>
    <row r="933" ht="12.75" customHeight="1">
      <c r="A933" s="8"/>
      <c r="HT933" s="8"/>
      <c r="HU933" s="8"/>
      <c r="HV933" s="8"/>
      <c r="HW933" s="8"/>
      <c r="HX933" s="8"/>
      <c r="HY933" s="8"/>
      <c r="HZ933" s="8"/>
      <c r="IA933" s="8"/>
      <c r="IB933" s="8"/>
      <c r="IC933" s="8"/>
      <c r="ID933" s="8"/>
      <c r="IE933" s="8"/>
      <c r="IF933" s="8"/>
      <c r="IG933" s="8"/>
      <c r="IH933" s="8"/>
      <c r="II933" s="8"/>
      <c r="IJ933" s="8"/>
      <c r="IK933" s="8"/>
      <c r="IL933" s="8"/>
      <c r="IM933" s="8"/>
      <c r="IN933" s="8"/>
      <c r="IO933" s="8"/>
      <c r="IP933" s="8"/>
      <c r="IQ933" s="8"/>
      <c r="IR933" s="8"/>
      <c r="IS933" s="8"/>
      <c r="IT933" s="8"/>
      <c r="IU933" s="8"/>
      <c r="IV933" s="8"/>
    </row>
    <row r="934" ht="12.75" customHeight="1">
      <c r="A934" s="8"/>
      <c r="HT934" s="8"/>
      <c r="HU934" s="8"/>
      <c r="HV934" s="8"/>
      <c r="HW934" s="8"/>
      <c r="HX934" s="8"/>
      <c r="HY934" s="8"/>
      <c r="HZ934" s="8"/>
      <c r="IA934" s="8"/>
      <c r="IB934" s="8"/>
      <c r="IC934" s="8"/>
      <c r="ID934" s="8"/>
      <c r="IE934" s="8"/>
      <c r="IF934" s="8"/>
      <c r="IG934" s="8"/>
      <c r="IH934" s="8"/>
      <c r="II934" s="8"/>
      <c r="IJ934" s="8"/>
      <c r="IK934" s="8"/>
      <c r="IL934" s="8"/>
      <c r="IM934" s="8"/>
      <c r="IN934" s="8"/>
      <c r="IO934" s="8"/>
      <c r="IP934" s="8"/>
      <c r="IQ934" s="8"/>
      <c r="IR934" s="8"/>
      <c r="IS934" s="8"/>
      <c r="IT934" s="8"/>
      <c r="IU934" s="8"/>
      <c r="IV934" s="8"/>
    </row>
    <row r="935" ht="12.75" customHeight="1">
      <c r="A935" s="8"/>
      <c r="HT935" s="8"/>
      <c r="HU935" s="8"/>
      <c r="HV935" s="8"/>
      <c r="HW935" s="8"/>
      <c r="HX935" s="8"/>
      <c r="HY935" s="8"/>
      <c r="HZ935" s="8"/>
      <c r="IA935" s="8"/>
      <c r="IB935" s="8"/>
      <c r="IC935" s="8"/>
      <c r="ID935" s="8"/>
      <c r="IE935" s="8"/>
      <c r="IF935" s="8"/>
      <c r="IG935" s="8"/>
      <c r="IH935" s="8"/>
      <c r="II935" s="8"/>
      <c r="IJ935" s="8"/>
      <c r="IK935" s="8"/>
      <c r="IL935" s="8"/>
      <c r="IM935" s="8"/>
      <c r="IN935" s="8"/>
      <c r="IO935" s="8"/>
      <c r="IP935" s="8"/>
      <c r="IQ935" s="8"/>
      <c r="IR935" s="8"/>
      <c r="IS935" s="8"/>
      <c r="IT935" s="8"/>
      <c r="IU935" s="8"/>
      <c r="IV935" s="8"/>
    </row>
    <row r="936" ht="12.75" customHeight="1">
      <c r="A936" s="8"/>
      <c r="HT936" s="8"/>
      <c r="HU936" s="8"/>
      <c r="HV936" s="8"/>
      <c r="HW936" s="8"/>
      <c r="HX936" s="8"/>
      <c r="HY936" s="8"/>
      <c r="HZ936" s="8"/>
      <c r="IA936" s="8"/>
      <c r="IB936" s="8"/>
      <c r="IC936" s="8"/>
      <c r="ID936" s="8"/>
      <c r="IE936" s="8"/>
      <c r="IF936" s="8"/>
      <c r="IG936" s="8"/>
      <c r="IH936" s="8"/>
      <c r="II936" s="8"/>
      <c r="IJ936" s="8"/>
      <c r="IK936" s="8"/>
      <c r="IL936" s="8"/>
      <c r="IM936" s="8"/>
      <c r="IN936" s="8"/>
      <c r="IO936" s="8"/>
      <c r="IP936" s="8"/>
      <c r="IQ936" s="8"/>
      <c r="IR936" s="8"/>
      <c r="IS936" s="8"/>
      <c r="IT936" s="8"/>
      <c r="IU936" s="8"/>
      <c r="IV936" s="8"/>
    </row>
    <row r="937" ht="12.75" customHeight="1">
      <c r="A937" s="8"/>
      <c r="HT937" s="8"/>
      <c r="HU937" s="8"/>
      <c r="HV937" s="8"/>
      <c r="HW937" s="8"/>
      <c r="HX937" s="8"/>
      <c r="HY937" s="8"/>
      <c r="HZ937" s="8"/>
      <c r="IA937" s="8"/>
      <c r="IB937" s="8"/>
      <c r="IC937" s="8"/>
      <c r="ID937" s="8"/>
      <c r="IE937" s="8"/>
      <c r="IF937" s="8"/>
      <c r="IG937" s="8"/>
      <c r="IH937" s="8"/>
      <c r="II937" s="8"/>
      <c r="IJ937" s="8"/>
      <c r="IK937" s="8"/>
      <c r="IL937" s="8"/>
      <c r="IM937" s="8"/>
      <c r="IN937" s="8"/>
      <c r="IO937" s="8"/>
      <c r="IP937" s="8"/>
      <c r="IQ937" s="8"/>
      <c r="IR937" s="8"/>
      <c r="IS937" s="8"/>
      <c r="IT937" s="8"/>
      <c r="IU937" s="8"/>
      <c r="IV937" s="8"/>
    </row>
    <row r="938" ht="12.75" customHeight="1">
      <c r="A938" s="8"/>
      <c r="HT938" s="8"/>
      <c r="HU938" s="8"/>
      <c r="HV938" s="8"/>
      <c r="HW938" s="8"/>
      <c r="HX938" s="8"/>
      <c r="HY938" s="8"/>
      <c r="HZ938" s="8"/>
      <c r="IA938" s="8"/>
      <c r="IB938" s="8"/>
      <c r="IC938" s="8"/>
      <c r="ID938" s="8"/>
      <c r="IE938" s="8"/>
      <c r="IF938" s="8"/>
      <c r="IG938" s="8"/>
      <c r="IH938" s="8"/>
      <c r="II938" s="8"/>
      <c r="IJ938" s="8"/>
      <c r="IK938" s="8"/>
      <c r="IL938" s="8"/>
      <c r="IM938" s="8"/>
      <c r="IN938" s="8"/>
      <c r="IO938" s="8"/>
      <c r="IP938" s="8"/>
      <c r="IQ938" s="8"/>
      <c r="IR938" s="8"/>
      <c r="IS938" s="8"/>
      <c r="IT938" s="8"/>
      <c r="IU938" s="8"/>
      <c r="IV938" s="8"/>
    </row>
    <row r="939" ht="12.75" customHeight="1">
      <c r="A939" s="8"/>
      <c r="HT939" s="8"/>
      <c r="HU939" s="8"/>
      <c r="HV939" s="8"/>
      <c r="HW939" s="8"/>
      <c r="HX939" s="8"/>
      <c r="HY939" s="8"/>
      <c r="HZ939" s="8"/>
      <c r="IA939" s="8"/>
      <c r="IB939" s="8"/>
      <c r="IC939" s="8"/>
      <c r="ID939" s="8"/>
      <c r="IE939" s="8"/>
      <c r="IF939" s="8"/>
      <c r="IG939" s="8"/>
      <c r="IH939" s="8"/>
      <c r="II939" s="8"/>
      <c r="IJ939" s="8"/>
      <c r="IK939" s="8"/>
      <c r="IL939" s="8"/>
      <c r="IM939" s="8"/>
      <c r="IN939" s="8"/>
      <c r="IO939" s="8"/>
      <c r="IP939" s="8"/>
      <c r="IQ939" s="8"/>
      <c r="IR939" s="8"/>
      <c r="IS939" s="8"/>
      <c r="IT939" s="8"/>
      <c r="IU939" s="8"/>
      <c r="IV939" s="8"/>
    </row>
    <row r="940" ht="12.75" customHeight="1">
      <c r="A940" s="8"/>
      <c r="HT940" s="8"/>
      <c r="HU940" s="8"/>
      <c r="HV940" s="8"/>
      <c r="HW940" s="8"/>
      <c r="HX940" s="8"/>
      <c r="HY940" s="8"/>
      <c r="HZ940" s="8"/>
      <c r="IA940" s="8"/>
      <c r="IB940" s="8"/>
      <c r="IC940" s="8"/>
      <c r="ID940" s="8"/>
      <c r="IE940" s="8"/>
      <c r="IF940" s="8"/>
      <c r="IG940" s="8"/>
      <c r="IH940" s="8"/>
      <c r="II940" s="8"/>
      <c r="IJ940" s="8"/>
      <c r="IK940" s="8"/>
      <c r="IL940" s="8"/>
      <c r="IM940" s="8"/>
      <c r="IN940" s="8"/>
      <c r="IO940" s="8"/>
      <c r="IP940" s="8"/>
      <c r="IQ940" s="8"/>
      <c r="IR940" s="8"/>
      <c r="IS940" s="8"/>
      <c r="IT940" s="8"/>
      <c r="IU940" s="8"/>
      <c r="IV940" s="8"/>
    </row>
    <row r="941" ht="12.75" customHeight="1">
      <c r="A941" s="8"/>
      <c r="HT941" s="8"/>
      <c r="HU941" s="8"/>
      <c r="HV941" s="8"/>
      <c r="HW941" s="8"/>
      <c r="HX941" s="8"/>
      <c r="HY941" s="8"/>
      <c r="HZ941" s="8"/>
      <c r="IA941" s="8"/>
      <c r="IB941" s="8"/>
      <c r="IC941" s="8"/>
      <c r="ID941" s="8"/>
      <c r="IE941" s="8"/>
      <c r="IF941" s="8"/>
      <c r="IG941" s="8"/>
      <c r="IH941" s="8"/>
      <c r="II941" s="8"/>
      <c r="IJ941" s="8"/>
      <c r="IK941" s="8"/>
      <c r="IL941" s="8"/>
      <c r="IM941" s="8"/>
      <c r="IN941" s="8"/>
      <c r="IO941" s="8"/>
      <c r="IP941" s="8"/>
      <c r="IQ941" s="8"/>
      <c r="IR941" s="8"/>
      <c r="IS941" s="8"/>
      <c r="IT941" s="8"/>
      <c r="IU941" s="8"/>
      <c r="IV941" s="8"/>
    </row>
    <row r="942" ht="12.75" customHeight="1">
      <c r="A942" s="8"/>
      <c r="HT942" s="8"/>
      <c r="HU942" s="8"/>
      <c r="HV942" s="8"/>
      <c r="HW942" s="8"/>
      <c r="HX942" s="8"/>
      <c r="HY942" s="8"/>
      <c r="HZ942" s="8"/>
      <c r="IA942" s="8"/>
      <c r="IB942" s="8"/>
      <c r="IC942" s="8"/>
      <c r="ID942" s="8"/>
      <c r="IE942" s="8"/>
      <c r="IF942" s="8"/>
      <c r="IG942" s="8"/>
      <c r="IH942" s="8"/>
      <c r="II942" s="8"/>
      <c r="IJ942" s="8"/>
      <c r="IK942" s="8"/>
      <c r="IL942" s="8"/>
      <c r="IM942" s="8"/>
      <c r="IN942" s="8"/>
      <c r="IO942" s="8"/>
      <c r="IP942" s="8"/>
      <c r="IQ942" s="8"/>
      <c r="IR942" s="8"/>
      <c r="IS942" s="8"/>
      <c r="IT942" s="8"/>
      <c r="IU942" s="8"/>
      <c r="IV942" s="8"/>
    </row>
    <row r="943" ht="12.75" customHeight="1">
      <c r="A943" s="8"/>
      <c r="HT943" s="8"/>
      <c r="HU943" s="8"/>
      <c r="HV943" s="8"/>
      <c r="HW943" s="8"/>
      <c r="HX943" s="8"/>
      <c r="HY943" s="8"/>
      <c r="HZ943" s="8"/>
      <c r="IA943" s="8"/>
      <c r="IB943" s="8"/>
      <c r="IC943" s="8"/>
      <c r="ID943" s="8"/>
      <c r="IE943" s="8"/>
      <c r="IF943" s="8"/>
      <c r="IG943" s="8"/>
      <c r="IH943" s="8"/>
      <c r="II943" s="8"/>
      <c r="IJ943" s="8"/>
      <c r="IK943" s="8"/>
      <c r="IL943" s="8"/>
      <c r="IM943" s="8"/>
      <c r="IN943" s="8"/>
      <c r="IO943" s="8"/>
      <c r="IP943" s="8"/>
      <c r="IQ943" s="8"/>
      <c r="IR943" s="8"/>
      <c r="IS943" s="8"/>
      <c r="IT943" s="8"/>
      <c r="IU943" s="8"/>
      <c r="IV943" s="8"/>
    </row>
    <row r="944" ht="12.75" customHeight="1">
      <c r="A944" s="8"/>
      <c r="HT944" s="8"/>
      <c r="HU944" s="8"/>
      <c r="HV944" s="8"/>
      <c r="HW944" s="8"/>
      <c r="HX944" s="8"/>
      <c r="HY944" s="8"/>
      <c r="HZ944" s="8"/>
      <c r="IA944" s="8"/>
      <c r="IB944" s="8"/>
      <c r="IC944" s="8"/>
      <c r="ID944" s="8"/>
      <c r="IE944" s="8"/>
      <c r="IF944" s="8"/>
      <c r="IG944" s="8"/>
      <c r="IH944" s="8"/>
      <c r="II944" s="8"/>
      <c r="IJ944" s="8"/>
      <c r="IK944" s="8"/>
      <c r="IL944" s="8"/>
      <c r="IM944" s="8"/>
      <c r="IN944" s="8"/>
      <c r="IO944" s="8"/>
      <c r="IP944" s="8"/>
      <c r="IQ944" s="8"/>
      <c r="IR944" s="8"/>
      <c r="IS944" s="8"/>
      <c r="IT944" s="8"/>
      <c r="IU944" s="8"/>
      <c r="IV944" s="8"/>
    </row>
    <row r="945" ht="12.75" customHeight="1">
      <c r="A945" s="8"/>
      <c r="HT945" s="8"/>
      <c r="HU945" s="8"/>
      <c r="HV945" s="8"/>
      <c r="HW945" s="8"/>
      <c r="HX945" s="8"/>
      <c r="HY945" s="8"/>
      <c r="HZ945" s="8"/>
      <c r="IA945" s="8"/>
      <c r="IB945" s="8"/>
      <c r="IC945" s="8"/>
      <c r="ID945" s="8"/>
      <c r="IE945" s="8"/>
      <c r="IF945" s="8"/>
      <c r="IG945" s="8"/>
      <c r="IH945" s="8"/>
      <c r="II945" s="8"/>
      <c r="IJ945" s="8"/>
      <c r="IK945" s="8"/>
      <c r="IL945" s="8"/>
      <c r="IM945" s="8"/>
      <c r="IN945" s="8"/>
      <c r="IO945" s="8"/>
      <c r="IP945" s="8"/>
      <c r="IQ945" s="8"/>
      <c r="IR945" s="8"/>
      <c r="IS945" s="8"/>
      <c r="IT945" s="8"/>
      <c r="IU945" s="8"/>
      <c r="IV945" s="8"/>
    </row>
    <row r="946" ht="12.75" customHeight="1">
      <c r="A946" s="8"/>
      <c r="HT946" s="8"/>
      <c r="HU946" s="8"/>
      <c r="HV946" s="8"/>
      <c r="HW946" s="8"/>
      <c r="HX946" s="8"/>
      <c r="HY946" s="8"/>
      <c r="HZ946" s="8"/>
      <c r="IA946" s="8"/>
      <c r="IB946" s="8"/>
      <c r="IC946" s="8"/>
      <c r="ID946" s="8"/>
      <c r="IE946" s="8"/>
      <c r="IF946" s="8"/>
      <c r="IG946" s="8"/>
      <c r="IH946" s="8"/>
      <c r="II946" s="8"/>
      <c r="IJ946" s="8"/>
      <c r="IK946" s="8"/>
      <c r="IL946" s="8"/>
      <c r="IM946" s="8"/>
      <c r="IN946" s="8"/>
      <c r="IO946" s="8"/>
      <c r="IP946" s="8"/>
      <c r="IQ946" s="8"/>
      <c r="IR946" s="8"/>
      <c r="IS946" s="8"/>
      <c r="IT946" s="8"/>
      <c r="IU946" s="8"/>
      <c r="IV946" s="8"/>
    </row>
    <row r="947" ht="12.75" customHeight="1">
      <c r="A947" s="8"/>
      <c r="HT947" s="8"/>
      <c r="HU947" s="8"/>
      <c r="HV947" s="8"/>
      <c r="HW947" s="8"/>
      <c r="HX947" s="8"/>
      <c r="HY947" s="8"/>
      <c r="HZ947" s="8"/>
      <c r="IA947" s="8"/>
      <c r="IB947" s="8"/>
      <c r="IC947" s="8"/>
      <c r="ID947" s="8"/>
      <c r="IE947" s="8"/>
      <c r="IF947" s="8"/>
      <c r="IG947" s="8"/>
      <c r="IH947" s="8"/>
      <c r="II947" s="8"/>
      <c r="IJ947" s="8"/>
      <c r="IK947" s="8"/>
      <c r="IL947" s="8"/>
      <c r="IM947" s="8"/>
      <c r="IN947" s="8"/>
      <c r="IO947" s="8"/>
      <c r="IP947" s="8"/>
      <c r="IQ947" s="8"/>
      <c r="IR947" s="8"/>
      <c r="IS947" s="8"/>
      <c r="IT947" s="8"/>
      <c r="IU947" s="8"/>
      <c r="IV947" s="8"/>
    </row>
    <row r="948" ht="12.75" customHeight="1">
      <c r="A948" s="8"/>
      <c r="HT948" s="8"/>
      <c r="HU948" s="8"/>
      <c r="HV948" s="8"/>
      <c r="HW948" s="8"/>
      <c r="HX948" s="8"/>
      <c r="HY948" s="8"/>
      <c r="HZ948" s="8"/>
      <c r="IA948" s="8"/>
      <c r="IB948" s="8"/>
      <c r="IC948" s="8"/>
      <c r="ID948" s="8"/>
      <c r="IE948" s="8"/>
      <c r="IF948" s="8"/>
      <c r="IG948" s="8"/>
      <c r="IH948" s="8"/>
      <c r="II948" s="8"/>
      <c r="IJ948" s="8"/>
      <c r="IK948" s="8"/>
      <c r="IL948" s="8"/>
      <c r="IM948" s="8"/>
      <c r="IN948" s="8"/>
      <c r="IO948" s="8"/>
      <c r="IP948" s="8"/>
      <c r="IQ948" s="8"/>
      <c r="IR948" s="8"/>
      <c r="IS948" s="8"/>
      <c r="IT948" s="8"/>
      <c r="IU948" s="8"/>
      <c r="IV948" s="8"/>
    </row>
    <row r="949" ht="12.75" customHeight="1">
      <c r="A949" s="8"/>
      <c r="HT949" s="8"/>
      <c r="HU949" s="8"/>
      <c r="HV949" s="8"/>
      <c r="HW949" s="8"/>
      <c r="HX949" s="8"/>
      <c r="HY949" s="8"/>
      <c r="HZ949" s="8"/>
      <c r="IA949" s="8"/>
      <c r="IB949" s="8"/>
      <c r="IC949" s="8"/>
      <c r="ID949" s="8"/>
      <c r="IE949" s="8"/>
      <c r="IF949" s="8"/>
      <c r="IG949" s="8"/>
      <c r="IH949" s="8"/>
      <c r="II949" s="8"/>
      <c r="IJ949" s="8"/>
      <c r="IK949" s="8"/>
      <c r="IL949" s="8"/>
      <c r="IM949" s="8"/>
      <c r="IN949" s="8"/>
      <c r="IO949" s="8"/>
      <c r="IP949" s="8"/>
      <c r="IQ949" s="8"/>
      <c r="IR949" s="8"/>
      <c r="IS949" s="8"/>
      <c r="IT949" s="8"/>
      <c r="IU949" s="8"/>
      <c r="IV949" s="8"/>
    </row>
    <row r="950" ht="12.75" customHeight="1">
      <c r="A950" s="8"/>
      <c r="HT950" s="8"/>
      <c r="HU950" s="8"/>
      <c r="HV950" s="8"/>
      <c r="HW950" s="8"/>
      <c r="HX950" s="8"/>
      <c r="HY950" s="8"/>
      <c r="HZ950" s="8"/>
      <c r="IA950" s="8"/>
      <c r="IB950" s="8"/>
      <c r="IC950" s="8"/>
      <c r="ID950" s="8"/>
      <c r="IE950" s="8"/>
      <c r="IF950" s="8"/>
      <c r="IG950" s="8"/>
      <c r="IH950" s="8"/>
      <c r="II950" s="8"/>
      <c r="IJ950" s="8"/>
      <c r="IK950" s="8"/>
      <c r="IL950" s="8"/>
      <c r="IM950" s="8"/>
      <c r="IN950" s="8"/>
      <c r="IO950" s="8"/>
      <c r="IP950" s="8"/>
      <c r="IQ950" s="8"/>
      <c r="IR950" s="8"/>
      <c r="IS950" s="8"/>
      <c r="IT950" s="8"/>
      <c r="IU950" s="8"/>
      <c r="IV950" s="8"/>
    </row>
    <row r="951" ht="12.75" customHeight="1">
      <c r="A951" s="8"/>
      <c r="HT951" s="8"/>
      <c r="HU951" s="8"/>
      <c r="HV951" s="8"/>
      <c r="HW951" s="8"/>
      <c r="HX951" s="8"/>
      <c r="HY951" s="8"/>
      <c r="HZ951" s="8"/>
      <c r="IA951" s="8"/>
      <c r="IB951" s="8"/>
      <c r="IC951" s="8"/>
      <c r="ID951" s="8"/>
      <c r="IE951" s="8"/>
      <c r="IF951" s="8"/>
      <c r="IG951" s="8"/>
      <c r="IH951" s="8"/>
      <c r="II951" s="8"/>
      <c r="IJ951" s="8"/>
      <c r="IK951" s="8"/>
      <c r="IL951" s="8"/>
      <c r="IM951" s="8"/>
      <c r="IN951" s="8"/>
      <c r="IO951" s="8"/>
      <c r="IP951" s="8"/>
      <c r="IQ951" s="8"/>
      <c r="IR951" s="8"/>
      <c r="IS951" s="8"/>
      <c r="IT951" s="8"/>
      <c r="IU951" s="8"/>
      <c r="IV951" s="8"/>
    </row>
    <row r="952" ht="12.75" customHeight="1">
      <c r="A952" s="8"/>
      <c r="HT952" s="8"/>
      <c r="HU952" s="8"/>
      <c r="HV952" s="8"/>
      <c r="HW952" s="8"/>
      <c r="HX952" s="8"/>
      <c r="HY952" s="8"/>
      <c r="HZ952" s="8"/>
      <c r="IA952" s="8"/>
      <c r="IB952" s="8"/>
      <c r="IC952" s="8"/>
      <c r="ID952" s="8"/>
      <c r="IE952" s="8"/>
      <c r="IF952" s="8"/>
      <c r="IG952" s="8"/>
      <c r="IH952" s="8"/>
      <c r="II952" s="8"/>
      <c r="IJ952" s="8"/>
      <c r="IK952" s="8"/>
      <c r="IL952" s="8"/>
      <c r="IM952" s="8"/>
      <c r="IN952" s="8"/>
      <c r="IO952" s="8"/>
      <c r="IP952" s="8"/>
      <c r="IQ952" s="8"/>
      <c r="IR952" s="8"/>
      <c r="IS952" s="8"/>
      <c r="IT952" s="8"/>
      <c r="IU952" s="8"/>
      <c r="IV952" s="8"/>
    </row>
    <row r="953" ht="12.75" customHeight="1">
      <c r="A953" s="8"/>
      <c r="HT953" s="8"/>
      <c r="HU953" s="8"/>
      <c r="HV953" s="8"/>
      <c r="HW953" s="8"/>
      <c r="HX953" s="8"/>
      <c r="HY953" s="8"/>
      <c r="HZ953" s="8"/>
      <c r="IA953" s="8"/>
      <c r="IB953" s="8"/>
      <c r="IC953" s="8"/>
      <c r="ID953" s="8"/>
      <c r="IE953" s="8"/>
      <c r="IF953" s="8"/>
      <c r="IG953" s="8"/>
      <c r="IH953" s="8"/>
      <c r="II953" s="8"/>
      <c r="IJ953" s="8"/>
      <c r="IK953" s="8"/>
      <c r="IL953" s="8"/>
      <c r="IM953" s="8"/>
      <c r="IN953" s="8"/>
      <c r="IO953" s="8"/>
      <c r="IP953" s="8"/>
      <c r="IQ953" s="8"/>
      <c r="IR953" s="8"/>
      <c r="IS953" s="8"/>
      <c r="IT953" s="8"/>
      <c r="IU953" s="8"/>
      <c r="IV953" s="8"/>
    </row>
    <row r="954" ht="12.75" customHeight="1">
      <c r="A954" s="8"/>
      <c r="HT954" s="8"/>
      <c r="HU954" s="8"/>
      <c r="HV954" s="8"/>
      <c r="HW954" s="8"/>
      <c r="HX954" s="8"/>
      <c r="HY954" s="8"/>
      <c r="HZ954" s="8"/>
      <c r="IA954" s="8"/>
      <c r="IB954" s="8"/>
      <c r="IC954" s="8"/>
      <c r="ID954" s="8"/>
      <c r="IE954" s="8"/>
      <c r="IF954" s="8"/>
      <c r="IG954" s="8"/>
      <c r="IH954" s="8"/>
      <c r="II954" s="8"/>
      <c r="IJ954" s="8"/>
      <c r="IK954" s="8"/>
      <c r="IL954" s="8"/>
      <c r="IM954" s="8"/>
      <c r="IN954" s="8"/>
      <c r="IO954" s="8"/>
      <c r="IP954" s="8"/>
      <c r="IQ954" s="8"/>
      <c r="IR954" s="8"/>
      <c r="IS954" s="8"/>
      <c r="IT954" s="8"/>
      <c r="IU954" s="8"/>
      <c r="IV954" s="8"/>
    </row>
    <row r="955" ht="12.75" customHeight="1">
      <c r="A955" s="8"/>
      <c r="HT955" s="8"/>
      <c r="HU955" s="8"/>
      <c r="HV955" s="8"/>
      <c r="HW955" s="8"/>
      <c r="HX955" s="8"/>
      <c r="HY955" s="8"/>
      <c r="HZ955" s="8"/>
      <c r="IA955" s="8"/>
      <c r="IB955" s="8"/>
      <c r="IC955" s="8"/>
      <c r="ID955" s="8"/>
      <c r="IE955" s="8"/>
      <c r="IF955" s="8"/>
      <c r="IG955" s="8"/>
      <c r="IH955" s="8"/>
      <c r="II955" s="8"/>
      <c r="IJ955" s="8"/>
      <c r="IK955" s="8"/>
      <c r="IL955" s="8"/>
      <c r="IM955" s="8"/>
      <c r="IN955" s="8"/>
      <c r="IO955" s="8"/>
      <c r="IP955" s="8"/>
      <c r="IQ955" s="8"/>
      <c r="IR955" s="8"/>
      <c r="IS955" s="8"/>
      <c r="IT955" s="8"/>
      <c r="IU955" s="8"/>
      <c r="IV955" s="8"/>
    </row>
    <row r="956" ht="12.75" customHeight="1">
      <c r="A956" s="8"/>
      <c r="HT956" s="8"/>
      <c r="HU956" s="8"/>
      <c r="HV956" s="8"/>
      <c r="HW956" s="8"/>
      <c r="HX956" s="8"/>
      <c r="HY956" s="8"/>
      <c r="HZ956" s="8"/>
      <c r="IA956" s="8"/>
      <c r="IB956" s="8"/>
      <c r="IC956" s="8"/>
      <c r="ID956" s="8"/>
      <c r="IE956" s="8"/>
      <c r="IF956" s="8"/>
      <c r="IG956" s="8"/>
      <c r="IH956" s="8"/>
      <c r="II956" s="8"/>
      <c r="IJ956" s="8"/>
      <c r="IK956" s="8"/>
      <c r="IL956" s="8"/>
      <c r="IM956" s="8"/>
      <c r="IN956" s="8"/>
      <c r="IO956" s="8"/>
      <c r="IP956" s="8"/>
      <c r="IQ956" s="8"/>
      <c r="IR956" s="8"/>
      <c r="IS956" s="8"/>
      <c r="IT956" s="8"/>
      <c r="IU956" s="8"/>
      <c r="IV956" s="8"/>
    </row>
    <row r="957" ht="12.75" customHeight="1">
      <c r="A957" s="8"/>
      <c r="HT957" s="8"/>
      <c r="HU957" s="8"/>
      <c r="HV957" s="8"/>
      <c r="HW957" s="8"/>
      <c r="HX957" s="8"/>
      <c r="HY957" s="8"/>
      <c r="HZ957" s="8"/>
      <c r="IA957" s="8"/>
      <c r="IB957" s="8"/>
      <c r="IC957" s="8"/>
      <c r="ID957" s="8"/>
      <c r="IE957" s="8"/>
      <c r="IF957" s="8"/>
      <c r="IG957" s="8"/>
      <c r="IH957" s="8"/>
      <c r="II957" s="8"/>
      <c r="IJ957" s="8"/>
      <c r="IK957" s="8"/>
      <c r="IL957" s="8"/>
      <c r="IM957" s="8"/>
      <c r="IN957" s="8"/>
      <c r="IO957" s="8"/>
      <c r="IP957" s="8"/>
      <c r="IQ957" s="8"/>
      <c r="IR957" s="8"/>
      <c r="IS957" s="8"/>
      <c r="IT957" s="8"/>
      <c r="IU957" s="8"/>
      <c r="IV957" s="8"/>
    </row>
    <row r="958" ht="12.75" customHeight="1">
      <c r="A958" s="8"/>
      <c r="HT958" s="8"/>
      <c r="HU958" s="8"/>
      <c r="HV958" s="8"/>
      <c r="HW958" s="8"/>
      <c r="HX958" s="8"/>
      <c r="HY958" s="8"/>
      <c r="HZ958" s="8"/>
      <c r="IA958" s="8"/>
      <c r="IB958" s="8"/>
      <c r="IC958" s="8"/>
      <c r="ID958" s="8"/>
      <c r="IE958" s="8"/>
      <c r="IF958" s="8"/>
      <c r="IG958" s="8"/>
      <c r="IH958" s="8"/>
      <c r="II958" s="8"/>
      <c r="IJ958" s="8"/>
      <c r="IK958" s="8"/>
      <c r="IL958" s="8"/>
      <c r="IM958" s="8"/>
      <c r="IN958" s="8"/>
      <c r="IO958" s="8"/>
      <c r="IP958" s="8"/>
      <c r="IQ958" s="8"/>
      <c r="IR958" s="8"/>
      <c r="IS958" s="8"/>
      <c r="IT958" s="8"/>
      <c r="IU958" s="8"/>
      <c r="IV958" s="8"/>
    </row>
    <row r="959" ht="12.75" customHeight="1">
      <c r="A959" s="8"/>
      <c r="HT959" s="8"/>
      <c r="HU959" s="8"/>
      <c r="HV959" s="8"/>
      <c r="HW959" s="8"/>
      <c r="HX959" s="8"/>
      <c r="HY959" s="8"/>
      <c r="HZ959" s="8"/>
      <c r="IA959" s="8"/>
      <c r="IB959" s="8"/>
      <c r="IC959" s="8"/>
      <c r="ID959" s="8"/>
      <c r="IE959" s="8"/>
      <c r="IF959" s="8"/>
      <c r="IG959" s="8"/>
      <c r="IH959" s="8"/>
      <c r="II959" s="8"/>
      <c r="IJ959" s="8"/>
      <c r="IK959" s="8"/>
      <c r="IL959" s="8"/>
      <c r="IM959" s="8"/>
      <c r="IN959" s="8"/>
      <c r="IO959" s="8"/>
      <c r="IP959" s="8"/>
      <c r="IQ959" s="8"/>
      <c r="IR959" s="8"/>
      <c r="IS959" s="8"/>
      <c r="IT959" s="8"/>
      <c r="IU959" s="8"/>
      <c r="IV959" s="8"/>
    </row>
    <row r="960" ht="12.75" customHeight="1">
      <c r="A960" s="8"/>
      <c r="HT960" s="8"/>
      <c r="HU960" s="8"/>
      <c r="HV960" s="8"/>
      <c r="HW960" s="8"/>
      <c r="HX960" s="8"/>
      <c r="HY960" s="8"/>
      <c r="HZ960" s="8"/>
      <c r="IA960" s="8"/>
      <c r="IB960" s="8"/>
      <c r="IC960" s="8"/>
      <c r="ID960" s="8"/>
      <c r="IE960" s="8"/>
      <c r="IF960" s="8"/>
      <c r="IG960" s="8"/>
      <c r="IH960" s="8"/>
      <c r="II960" s="8"/>
      <c r="IJ960" s="8"/>
      <c r="IK960" s="8"/>
      <c r="IL960" s="8"/>
      <c r="IM960" s="8"/>
      <c r="IN960" s="8"/>
      <c r="IO960" s="8"/>
      <c r="IP960" s="8"/>
      <c r="IQ960" s="8"/>
      <c r="IR960" s="8"/>
      <c r="IS960" s="8"/>
      <c r="IT960" s="8"/>
      <c r="IU960" s="8"/>
      <c r="IV960" s="8"/>
    </row>
    <row r="961" ht="12.75" customHeight="1">
      <c r="A961" s="8"/>
      <c r="HT961" s="8"/>
      <c r="HU961" s="8"/>
      <c r="HV961" s="8"/>
      <c r="HW961" s="8"/>
      <c r="HX961" s="8"/>
      <c r="HY961" s="8"/>
      <c r="HZ961" s="8"/>
      <c r="IA961" s="8"/>
      <c r="IB961" s="8"/>
      <c r="IC961" s="8"/>
      <c r="ID961" s="8"/>
      <c r="IE961" s="8"/>
      <c r="IF961" s="8"/>
      <c r="IG961" s="8"/>
      <c r="IH961" s="8"/>
      <c r="II961" s="8"/>
      <c r="IJ961" s="8"/>
      <c r="IK961" s="8"/>
      <c r="IL961" s="8"/>
      <c r="IM961" s="8"/>
      <c r="IN961" s="8"/>
      <c r="IO961" s="8"/>
      <c r="IP961" s="8"/>
      <c r="IQ961" s="8"/>
      <c r="IR961" s="8"/>
      <c r="IS961" s="8"/>
      <c r="IT961" s="8"/>
      <c r="IU961" s="8"/>
      <c r="IV961" s="8"/>
    </row>
    <row r="962" ht="12.75" customHeight="1">
      <c r="A962" s="8"/>
      <c r="HT962" s="8"/>
      <c r="HU962" s="8"/>
      <c r="HV962" s="8"/>
      <c r="HW962" s="8"/>
      <c r="HX962" s="8"/>
      <c r="HY962" s="8"/>
      <c r="HZ962" s="8"/>
      <c r="IA962" s="8"/>
      <c r="IB962" s="8"/>
      <c r="IC962" s="8"/>
      <c r="ID962" s="8"/>
      <c r="IE962" s="8"/>
      <c r="IF962" s="8"/>
      <c r="IG962" s="8"/>
      <c r="IH962" s="8"/>
      <c r="II962" s="8"/>
      <c r="IJ962" s="8"/>
      <c r="IK962" s="8"/>
      <c r="IL962" s="8"/>
      <c r="IM962" s="8"/>
      <c r="IN962" s="8"/>
      <c r="IO962" s="8"/>
      <c r="IP962" s="8"/>
      <c r="IQ962" s="8"/>
      <c r="IR962" s="8"/>
      <c r="IS962" s="8"/>
      <c r="IT962" s="8"/>
      <c r="IU962" s="8"/>
      <c r="IV962" s="8"/>
    </row>
    <row r="963" ht="12.75" customHeight="1">
      <c r="A963" s="8"/>
      <c r="HT963" s="8"/>
      <c r="HU963" s="8"/>
      <c r="HV963" s="8"/>
      <c r="HW963" s="8"/>
      <c r="HX963" s="8"/>
      <c r="HY963" s="8"/>
      <c r="HZ963" s="8"/>
      <c r="IA963" s="8"/>
      <c r="IB963" s="8"/>
      <c r="IC963" s="8"/>
      <c r="ID963" s="8"/>
      <c r="IE963" s="8"/>
      <c r="IF963" s="8"/>
      <c r="IG963" s="8"/>
      <c r="IH963" s="8"/>
      <c r="II963" s="8"/>
      <c r="IJ963" s="8"/>
      <c r="IK963" s="8"/>
      <c r="IL963" s="8"/>
      <c r="IM963" s="8"/>
      <c r="IN963" s="8"/>
      <c r="IO963" s="8"/>
      <c r="IP963" s="8"/>
      <c r="IQ963" s="8"/>
      <c r="IR963" s="8"/>
      <c r="IS963" s="8"/>
      <c r="IT963" s="8"/>
      <c r="IU963" s="8"/>
      <c r="IV963" s="8"/>
    </row>
    <row r="964" ht="12.75" customHeight="1">
      <c r="A964" s="8"/>
      <c r="HT964" s="8"/>
      <c r="HU964" s="8"/>
      <c r="HV964" s="8"/>
      <c r="HW964" s="8"/>
      <c r="HX964" s="8"/>
      <c r="HY964" s="8"/>
      <c r="HZ964" s="8"/>
      <c r="IA964" s="8"/>
      <c r="IB964" s="8"/>
      <c r="IC964" s="8"/>
      <c r="ID964" s="8"/>
      <c r="IE964" s="8"/>
      <c r="IF964" s="8"/>
      <c r="IG964" s="8"/>
      <c r="IH964" s="8"/>
      <c r="II964" s="8"/>
      <c r="IJ964" s="8"/>
      <c r="IK964" s="8"/>
      <c r="IL964" s="8"/>
      <c r="IM964" s="8"/>
      <c r="IN964" s="8"/>
      <c r="IO964" s="8"/>
      <c r="IP964" s="8"/>
      <c r="IQ964" s="8"/>
      <c r="IR964" s="8"/>
      <c r="IS964" s="8"/>
      <c r="IT964" s="8"/>
      <c r="IU964" s="8"/>
      <c r="IV964" s="8"/>
    </row>
    <row r="965" ht="12.75" customHeight="1">
      <c r="A965" s="8"/>
      <c r="HT965" s="8"/>
      <c r="HU965" s="8"/>
      <c r="HV965" s="8"/>
      <c r="HW965" s="8"/>
      <c r="HX965" s="8"/>
      <c r="HY965" s="8"/>
      <c r="HZ965" s="8"/>
      <c r="IA965" s="8"/>
      <c r="IB965" s="8"/>
      <c r="IC965" s="8"/>
      <c r="ID965" s="8"/>
      <c r="IE965" s="8"/>
      <c r="IF965" s="8"/>
      <c r="IG965" s="8"/>
      <c r="IH965" s="8"/>
      <c r="II965" s="8"/>
      <c r="IJ965" s="8"/>
      <c r="IK965" s="8"/>
      <c r="IL965" s="8"/>
      <c r="IM965" s="8"/>
      <c r="IN965" s="8"/>
      <c r="IO965" s="8"/>
      <c r="IP965" s="8"/>
      <c r="IQ965" s="8"/>
      <c r="IR965" s="8"/>
      <c r="IS965" s="8"/>
      <c r="IT965" s="8"/>
      <c r="IU965" s="8"/>
      <c r="IV965" s="8"/>
    </row>
    <row r="966" ht="12.75" customHeight="1">
      <c r="A966" s="8"/>
      <c r="HT966" s="8"/>
      <c r="HU966" s="8"/>
      <c r="HV966" s="8"/>
      <c r="HW966" s="8"/>
      <c r="HX966" s="8"/>
      <c r="HY966" s="8"/>
      <c r="HZ966" s="8"/>
      <c r="IA966" s="8"/>
      <c r="IB966" s="8"/>
      <c r="IC966" s="8"/>
      <c r="ID966" s="8"/>
      <c r="IE966" s="8"/>
      <c r="IF966" s="8"/>
      <c r="IG966" s="8"/>
      <c r="IH966" s="8"/>
      <c r="II966" s="8"/>
      <c r="IJ966" s="8"/>
      <c r="IK966" s="8"/>
      <c r="IL966" s="8"/>
      <c r="IM966" s="8"/>
      <c r="IN966" s="8"/>
      <c r="IO966" s="8"/>
      <c r="IP966" s="8"/>
      <c r="IQ966" s="8"/>
      <c r="IR966" s="8"/>
      <c r="IS966" s="8"/>
      <c r="IT966" s="8"/>
      <c r="IU966" s="8"/>
      <c r="IV966" s="8"/>
    </row>
    <row r="967" ht="12.75" customHeight="1">
      <c r="A967" s="8"/>
      <c r="HT967" s="8"/>
      <c r="HU967" s="8"/>
      <c r="HV967" s="8"/>
      <c r="HW967" s="8"/>
      <c r="HX967" s="8"/>
      <c r="HY967" s="8"/>
      <c r="HZ967" s="8"/>
      <c r="IA967" s="8"/>
      <c r="IB967" s="8"/>
      <c r="IC967" s="8"/>
      <c r="ID967" s="8"/>
      <c r="IE967" s="8"/>
      <c r="IF967" s="8"/>
      <c r="IG967" s="8"/>
      <c r="IH967" s="8"/>
      <c r="II967" s="8"/>
      <c r="IJ967" s="8"/>
      <c r="IK967" s="8"/>
      <c r="IL967" s="8"/>
      <c r="IM967" s="8"/>
      <c r="IN967" s="8"/>
      <c r="IO967" s="8"/>
      <c r="IP967" s="8"/>
      <c r="IQ967" s="8"/>
      <c r="IR967" s="8"/>
      <c r="IS967" s="8"/>
      <c r="IT967" s="8"/>
      <c r="IU967" s="8"/>
      <c r="IV967" s="8"/>
    </row>
    <row r="968" ht="12.75" customHeight="1">
      <c r="A968" s="8"/>
      <c r="HT968" s="8"/>
      <c r="HU968" s="8"/>
      <c r="HV968" s="8"/>
      <c r="HW968" s="8"/>
      <c r="HX968" s="8"/>
      <c r="HY968" s="8"/>
      <c r="HZ968" s="8"/>
      <c r="IA968" s="8"/>
      <c r="IB968" s="8"/>
      <c r="IC968" s="8"/>
      <c r="ID968" s="8"/>
      <c r="IE968" s="8"/>
      <c r="IF968" s="8"/>
      <c r="IG968" s="8"/>
      <c r="IH968" s="8"/>
      <c r="II968" s="8"/>
      <c r="IJ968" s="8"/>
      <c r="IK968" s="8"/>
      <c r="IL968" s="8"/>
      <c r="IM968" s="8"/>
      <c r="IN968" s="8"/>
      <c r="IO968" s="8"/>
      <c r="IP968" s="8"/>
      <c r="IQ968" s="8"/>
      <c r="IR968" s="8"/>
      <c r="IS968" s="8"/>
      <c r="IT968" s="8"/>
      <c r="IU968" s="8"/>
      <c r="IV968" s="8"/>
    </row>
    <row r="969" ht="12.75" customHeight="1">
      <c r="A969" s="8"/>
      <c r="HT969" s="8"/>
      <c r="HU969" s="8"/>
      <c r="HV969" s="8"/>
      <c r="HW969" s="8"/>
      <c r="HX969" s="8"/>
      <c r="HY969" s="8"/>
      <c r="HZ969" s="8"/>
      <c r="IA969" s="8"/>
      <c r="IB969" s="8"/>
      <c r="IC969" s="8"/>
      <c r="ID969" s="8"/>
      <c r="IE969" s="8"/>
      <c r="IF969" s="8"/>
      <c r="IG969" s="8"/>
      <c r="IH969" s="8"/>
      <c r="II969" s="8"/>
      <c r="IJ969" s="8"/>
      <c r="IK969" s="8"/>
      <c r="IL969" s="8"/>
      <c r="IM969" s="8"/>
      <c r="IN969" s="8"/>
      <c r="IO969" s="8"/>
      <c r="IP969" s="8"/>
      <c r="IQ969" s="8"/>
      <c r="IR969" s="8"/>
      <c r="IS969" s="8"/>
      <c r="IT969" s="8"/>
      <c r="IU969" s="8"/>
      <c r="IV969" s="8"/>
    </row>
    <row r="970" ht="12.75" customHeight="1">
      <c r="A970" s="8"/>
      <c r="HT970" s="8"/>
      <c r="HU970" s="8"/>
      <c r="HV970" s="8"/>
      <c r="HW970" s="8"/>
      <c r="HX970" s="8"/>
      <c r="HY970" s="8"/>
      <c r="HZ970" s="8"/>
      <c r="IA970" s="8"/>
      <c r="IB970" s="8"/>
      <c r="IC970" s="8"/>
      <c r="ID970" s="8"/>
      <c r="IE970" s="8"/>
      <c r="IF970" s="8"/>
      <c r="IG970" s="8"/>
      <c r="IH970" s="8"/>
      <c r="II970" s="8"/>
      <c r="IJ970" s="8"/>
      <c r="IK970" s="8"/>
      <c r="IL970" s="8"/>
      <c r="IM970" s="8"/>
      <c r="IN970" s="8"/>
      <c r="IO970" s="8"/>
      <c r="IP970" s="8"/>
      <c r="IQ970" s="8"/>
      <c r="IR970" s="8"/>
      <c r="IS970" s="8"/>
      <c r="IT970" s="8"/>
      <c r="IU970" s="8"/>
      <c r="IV970" s="8"/>
    </row>
    <row r="971" ht="12.75" customHeight="1">
      <c r="A971" s="8"/>
      <c r="HT971" s="8"/>
      <c r="HU971" s="8"/>
      <c r="HV971" s="8"/>
      <c r="HW971" s="8"/>
      <c r="HX971" s="8"/>
      <c r="HY971" s="8"/>
      <c r="HZ971" s="8"/>
      <c r="IA971" s="8"/>
      <c r="IB971" s="8"/>
      <c r="IC971" s="8"/>
      <c r="ID971" s="8"/>
      <c r="IE971" s="8"/>
      <c r="IF971" s="8"/>
      <c r="IG971" s="8"/>
      <c r="IH971" s="8"/>
      <c r="II971" s="8"/>
      <c r="IJ971" s="8"/>
      <c r="IK971" s="8"/>
      <c r="IL971" s="8"/>
      <c r="IM971" s="8"/>
      <c r="IN971" s="8"/>
      <c r="IO971" s="8"/>
      <c r="IP971" s="8"/>
      <c r="IQ971" s="8"/>
      <c r="IR971" s="8"/>
      <c r="IS971" s="8"/>
      <c r="IT971" s="8"/>
      <c r="IU971" s="8"/>
      <c r="IV971" s="8"/>
    </row>
    <row r="972" ht="12.75" customHeight="1">
      <c r="A972" s="8"/>
      <c r="HT972" s="8"/>
      <c r="HU972" s="8"/>
      <c r="HV972" s="8"/>
      <c r="HW972" s="8"/>
      <c r="HX972" s="8"/>
      <c r="HY972" s="8"/>
      <c r="HZ972" s="8"/>
      <c r="IA972" s="8"/>
      <c r="IB972" s="8"/>
      <c r="IC972" s="8"/>
      <c r="ID972" s="8"/>
      <c r="IE972" s="8"/>
      <c r="IF972" s="8"/>
      <c r="IG972" s="8"/>
      <c r="IH972" s="8"/>
      <c r="II972" s="8"/>
      <c r="IJ972" s="8"/>
      <c r="IK972" s="8"/>
      <c r="IL972" s="8"/>
      <c r="IM972" s="8"/>
      <c r="IN972" s="8"/>
      <c r="IO972" s="8"/>
      <c r="IP972" s="8"/>
      <c r="IQ972" s="8"/>
      <c r="IR972" s="8"/>
      <c r="IS972" s="8"/>
      <c r="IT972" s="8"/>
      <c r="IU972" s="8"/>
      <c r="IV972" s="8"/>
    </row>
    <row r="973" ht="12.75" customHeight="1">
      <c r="A973" s="8"/>
      <c r="HT973" s="8"/>
      <c r="HU973" s="8"/>
      <c r="HV973" s="8"/>
      <c r="HW973" s="8"/>
      <c r="HX973" s="8"/>
      <c r="HY973" s="8"/>
      <c r="HZ973" s="8"/>
      <c r="IA973" s="8"/>
      <c r="IB973" s="8"/>
      <c r="IC973" s="8"/>
      <c r="ID973" s="8"/>
      <c r="IE973" s="8"/>
      <c r="IF973" s="8"/>
      <c r="IG973" s="8"/>
      <c r="IH973" s="8"/>
      <c r="II973" s="8"/>
      <c r="IJ973" s="8"/>
      <c r="IK973" s="8"/>
      <c r="IL973" s="8"/>
      <c r="IM973" s="8"/>
      <c r="IN973" s="8"/>
      <c r="IO973" s="8"/>
      <c r="IP973" s="8"/>
      <c r="IQ973" s="8"/>
      <c r="IR973" s="8"/>
      <c r="IS973" s="8"/>
      <c r="IT973" s="8"/>
      <c r="IU973" s="8"/>
      <c r="IV973" s="8"/>
    </row>
    <row r="974" ht="12.75" customHeight="1">
      <c r="A974" s="8"/>
      <c r="HT974" s="8"/>
      <c r="HU974" s="8"/>
      <c r="HV974" s="8"/>
      <c r="HW974" s="8"/>
      <c r="HX974" s="8"/>
      <c r="HY974" s="8"/>
      <c r="HZ974" s="8"/>
      <c r="IA974" s="8"/>
      <c r="IB974" s="8"/>
      <c r="IC974" s="8"/>
      <c r="ID974" s="8"/>
      <c r="IE974" s="8"/>
      <c r="IF974" s="8"/>
      <c r="IG974" s="8"/>
      <c r="IH974" s="8"/>
      <c r="II974" s="8"/>
      <c r="IJ974" s="8"/>
      <c r="IK974" s="8"/>
      <c r="IL974" s="8"/>
      <c r="IM974" s="8"/>
      <c r="IN974" s="8"/>
      <c r="IO974" s="8"/>
      <c r="IP974" s="8"/>
      <c r="IQ974" s="8"/>
      <c r="IR974" s="8"/>
      <c r="IS974" s="8"/>
      <c r="IT974" s="8"/>
      <c r="IU974" s="8"/>
      <c r="IV974" s="8"/>
    </row>
    <row r="975" ht="12.75" customHeight="1">
      <c r="A975" s="8"/>
      <c r="HT975" s="8"/>
      <c r="HU975" s="8"/>
      <c r="HV975" s="8"/>
      <c r="HW975" s="8"/>
      <c r="HX975" s="8"/>
      <c r="HY975" s="8"/>
      <c r="HZ975" s="8"/>
      <c r="IA975" s="8"/>
      <c r="IB975" s="8"/>
      <c r="IC975" s="8"/>
      <c r="ID975" s="8"/>
      <c r="IE975" s="8"/>
      <c r="IF975" s="8"/>
      <c r="IG975" s="8"/>
      <c r="IH975" s="8"/>
      <c r="II975" s="8"/>
      <c r="IJ975" s="8"/>
      <c r="IK975" s="8"/>
      <c r="IL975" s="8"/>
      <c r="IM975" s="8"/>
      <c r="IN975" s="8"/>
      <c r="IO975" s="8"/>
      <c r="IP975" s="8"/>
      <c r="IQ975" s="8"/>
      <c r="IR975" s="8"/>
      <c r="IS975" s="8"/>
      <c r="IT975" s="8"/>
      <c r="IU975" s="8"/>
      <c r="IV975" s="8"/>
    </row>
    <row r="976" ht="12.75" customHeight="1">
      <c r="A976" s="8"/>
      <c r="HT976" s="8"/>
      <c r="HU976" s="8"/>
      <c r="HV976" s="8"/>
      <c r="HW976" s="8"/>
      <c r="HX976" s="8"/>
      <c r="HY976" s="8"/>
      <c r="HZ976" s="8"/>
      <c r="IA976" s="8"/>
      <c r="IB976" s="8"/>
      <c r="IC976" s="8"/>
      <c r="ID976" s="8"/>
      <c r="IE976" s="8"/>
      <c r="IF976" s="8"/>
      <c r="IG976" s="8"/>
      <c r="IH976" s="8"/>
      <c r="II976" s="8"/>
      <c r="IJ976" s="8"/>
      <c r="IK976" s="8"/>
      <c r="IL976" s="8"/>
      <c r="IM976" s="8"/>
      <c r="IN976" s="8"/>
      <c r="IO976" s="8"/>
      <c r="IP976" s="8"/>
      <c r="IQ976" s="8"/>
      <c r="IR976" s="8"/>
      <c r="IS976" s="8"/>
      <c r="IT976" s="8"/>
      <c r="IU976" s="8"/>
      <c r="IV976" s="8"/>
    </row>
    <row r="977" ht="12.75" customHeight="1">
      <c r="A977" s="8"/>
      <c r="HT977" s="8"/>
      <c r="HU977" s="8"/>
      <c r="HV977" s="8"/>
      <c r="HW977" s="8"/>
      <c r="HX977" s="8"/>
      <c r="HY977" s="8"/>
      <c r="HZ977" s="8"/>
      <c r="IA977" s="8"/>
      <c r="IB977" s="8"/>
      <c r="IC977" s="8"/>
      <c r="ID977" s="8"/>
      <c r="IE977" s="8"/>
      <c r="IF977" s="8"/>
      <c r="IG977" s="8"/>
      <c r="IH977" s="8"/>
      <c r="II977" s="8"/>
      <c r="IJ977" s="8"/>
      <c r="IK977" s="8"/>
      <c r="IL977" s="8"/>
      <c r="IM977" s="8"/>
      <c r="IN977" s="8"/>
      <c r="IO977" s="8"/>
      <c r="IP977" s="8"/>
      <c r="IQ977" s="8"/>
      <c r="IR977" s="8"/>
      <c r="IS977" s="8"/>
      <c r="IT977" s="8"/>
      <c r="IU977" s="8"/>
      <c r="IV977" s="8"/>
    </row>
    <row r="978" ht="12.75" customHeight="1">
      <c r="A978" s="8"/>
      <c r="HT978" s="8"/>
      <c r="HU978" s="8"/>
      <c r="HV978" s="8"/>
      <c r="HW978" s="8"/>
      <c r="HX978" s="8"/>
      <c r="HY978" s="8"/>
      <c r="HZ978" s="8"/>
      <c r="IA978" s="8"/>
      <c r="IB978" s="8"/>
      <c r="IC978" s="8"/>
      <c r="ID978" s="8"/>
      <c r="IE978" s="8"/>
      <c r="IF978" s="8"/>
      <c r="IG978" s="8"/>
      <c r="IH978" s="8"/>
      <c r="II978" s="8"/>
      <c r="IJ978" s="8"/>
      <c r="IK978" s="8"/>
      <c r="IL978" s="8"/>
      <c r="IM978" s="8"/>
      <c r="IN978" s="8"/>
      <c r="IO978" s="8"/>
      <c r="IP978" s="8"/>
      <c r="IQ978" s="8"/>
      <c r="IR978" s="8"/>
      <c r="IS978" s="8"/>
      <c r="IT978" s="8"/>
      <c r="IU978" s="8"/>
      <c r="IV978" s="8"/>
    </row>
    <row r="979" ht="12.75" customHeight="1">
      <c r="A979" s="8"/>
      <c r="HT979" s="8"/>
      <c r="HU979" s="8"/>
      <c r="HV979" s="8"/>
      <c r="HW979" s="8"/>
      <c r="HX979" s="8"/>
      <c r="HY979" s="8"/>
      <c r="HZ979" s="8"/>
      <c r="IA979" s="8"/>
      <c r="IB979" s="8"/>
      <c r="IC979" s="8"/>
      <c r="ID979" s="8"/>
      <c r="IE979" s="8"/>
      <c r="IF979" s="8"/>
      <c r="IG979" s="8"/>
      <c r="IH979" s="8"/>
      <c r="II979" s="8"/>
      <c r="IJ979" s="8"/>
      <c r="IK979" s="8"/>
      <c r="IL979" s="8"/>
      <c r="IM979" s="8"/>
      <c r="IN979" s="8"/>
      <c r="IO979" s="8"/>
      <c r="IP979" s="8"/>
      <c r="IQ979" s="8"/>
      <c r="IR979" s="8"/>
      <c r="IS979" s="8"/>
      <c r="IT979" s="8"/>
      <c r="IU979" s="8"/>
      <c r="IV979" s="8"/>
    </row>
    <row r="980" ht="12.75" customHeight="1">
      <c r="A980" s="8"/>
      <c r="HT980" s="8"/>
      <c r="HU980" s="8"/>
      <c r="HV980" s="8"/>
      <c r="HW980" s="8"/>
      <c r="HX980" s="8"/>
      <c r="HY980" s="8"/>
      <c r="HZ980" s="8"/>
      <c r="IA980" s="8"/>
      <c r="IB980" s="8"/>
      <c r="IC980" s="8"/>
      <c r="ID980" s="8"/>
      <c r="IE980" s="8"/>
      <c r="IF980" s="8"/>
      <c r="IG980" s="8"/>
      <c r="IH980" s="8"/>
      <c r="II980" s="8"/>
      <c r="IJ980" s="8"/>
      <c r="IK980" s="8"/>
      <c r="IL980" s="8"/>
      <c r="IM980" s="8"/>
      <c r="IN980" s="8"/>
      <c r="IO980" s="8"/>
      <c r="IP980" s="8"/>
      <c r="IQ980" s="8"/>
      <c r="IR980" s="8"/>
      <c r="IS980" s="8"/>
      <c r="IT980" s="8"/>
      <c r="IU980" s="8"/>
      <c r="IV980" s="8"/>
    </row>
    <row r="981" ht="12.75" customHeight="1">
      <c r="A981" s="8"/>
      <c r="HT981" s="8"/>
      <c r="HU981" s="8"/>
      <c r="HV981" s="8"/>
      <c r="HW981" s="8"/>
      <c r="HX981" s="8"/>
      <c r="HY981" s="8"/>
      <c r="HZ981" s="8"/>
      <c r="IA981" s="8"/>
      <c r="IB981" s="8"/>
      <c r="IC981" s="8"/>
      <c r="ID981" s="8"/>
      <c r="IE981" s="8"/>
      <c r="IF981" s="8"/>
      <c r="IG981" s="8"/>
      <c r="IH981" s="8"/>
      <c r="II981" s="8"/>
      <c r="IJ981" s="8"/>
      <c r="IK981" s="8"/>
      <c r="IL981" s="8"/>
      <c r="IM981" s="8"/>
      <c r="IN981" s="8"/>
      <c r="IO981" s="8"/>
      <c r="IP981" s="8"/>
      <c r="IQ981" s="8"/>
      <c r="IR981" s="8"/>
      <c r="IS981" s="8"/>
      <c r="IT981" s="8"/>
      <c r="IU981" s="8"/>
      <c r="IV981" s="8"/>
    </row>
    <row r="982" ht="12.75" customHeight="1">
      <c r="A982" s="8"/>
      <c r="HT982" s="8"/>
      <c r="HU982" s="8"/>
      <c r="HV982" s="8"/>
      <c r="HW982" s="8"/>
      <c r="HX982" s="8"/>
      <c r="HY982" s="8"/>
      <c r="HZ982" s="8"/>
      <c r="IA982" s="8"/>
      <c r="IB982" s="8"/>
      <c r="IC982" s="8"/>
      <c r="ID982" s="8"/>
      <c r="IE982" s="8"/>
      <c r="IF982" s="8"/>
      <c r="IG982" s="8"/>
      <c r="IH982" s="8"/>
      <c r="II982" s="8"/>
      <c r="IJ982" s="8"/>
      <c r="IK982" s="8"/>
      <c r="IL982" s="8"/>
      <c r="IM982" s="8"/>
      <c r="IN982" s="8"/>
      <c r="IO982" s="8"/>
      <c r="IP982" s="8"/>
      <c r="IQ982" s="8"/>
      <c r="IR982" s="8"/>
      <c r="IS982" s="8"/>
      <c r="IT982" s="8"/>
      <c r="IU982" s="8"/>
      <c r="IV982" s="8"/>
    </row>
    <row r="983" ht="12.75" customHeight="1">
      <c r="A983" s="8"/>
      <c r="HT983" s="8"/>
      <c r="HU983" s="8"/>
      <c r="HV983" s="8"/>
      <c r="HW983" s="8"/>
      <c r="HX983" s="8"/>
      <c r="HY983" s="8"/>
      <c r="HZ983" s="8"/>
      <c r="IA983" s="8"/>
      <c r="IB983" s="8"/>
      <c r="IC983" s="8"/>
      <c r="ID983" s="8"/>
      <c r="IE983" s="8"/>
      <c r="IF983" s="8"/>
      <c r="IG983" s="8"/>
      <c r="IH983" s="8"/>
      <c r="II983" s="8"/>
      <c r="IJ983" s="8"/>
      <c r="IK983" s="8"/>
      <c r="IL983" s="8"/>
      <c r="IM983" s="8"/>
      <c r="IN983" s="8"/>
      <c r="IO983" s="8"/>
      <c r="IP983" s="8"/>
      <c r="IQ983" s="8"/>
      <c r="IR983" s="8"/>
      <c r="IS983" s="8"/>
      <c r="IT983" s="8"/>
      <c r="IU983" s="8"/>
      <c r="IV983" s="8"/>
    </row>
    <row r="984" ht="12.75" customHeight="1">
      <c r="A984" s="8"/>
      <c r="HT984" s="8"/>
      <c r="HU984" s="8"/>
      <c r="HV984" s="8"/>
      <c r="HW984" s="8"/>
      <c r="HX984" s="8"/>
      <c r="HY984" s="8"/>
      <c r="HZ984" s="8"/>
      <c r="IA984" s="8"/>
      <c r="IB984" s="8"/>
      <c r="IC984" s="8"/>
      <c r="ID984" s="8"/>
      <c r="IE984" s="8"/>
      <c r="IF984" s="8"/>
      <c r="IG984" s="8"/>
      <c r="IH984" s="8"/>
      <c r="II984" s="8"/>
      <c r="IJ984" s="8"/>
      <c r="IK984" s="8"/>
      <c r="IL984" s="8"/>
      <c r="IM984" s="8"/>
      <c r="IN984" s="8"/>
      <c r="IO984" s="8"/>
      <c r="IP984" s="8"/>
      <c r="IQ984" s="8"/>
      <c r="IR984" s="8"/>
      <c r="IS984" s="8"/>
      <c r="IT984" s="8"/>
      <c r="IU984" s="8"/>
      <c r="IV984" s="8"/>
    </row>
    <row r="985" ht="12.75" customHeight="1">
      <c r="A985" s="8"/>
      <c r="HT985" s="8"/>
      <c r="HU985" s="8"/>
      <c r="HV985" s="8"/>
      <c r="HW985" s="8"/>
      <c r="HX985" s="8"/>
      <c r="HY985" s="8"/>
      <c r="HZ985" s="8"/>
      <c r="IA985" s="8"/>
      <c r="IB985" s="8"/>
      <c r="IC985" s="8"/>
      <c r="ID985" s="8"/>
      <c r="IE985" s="8"/>
      <c r="IF985" s="8"/>
      <c r="IG985" s="8"/>
      <c r="IH985" s="8"/>
      <c r="II985" s="8"/>
      <c r="IJ985" s="8"/>
      <c r="IK985" s="8"/>
      <c r="IL985" s="8"/>
      <c r="IM985" s="8"/>
      <c r="IN985" s="8"/>
      <c r="IO985" s="8"/>
      <c r="IP985" s="8"/>
      <c r="IQ985" s="8"/>
      <c r="IR985" s="8"/>
      <c r="IS985" s="8"/>
      <c r="IT985" s="8"/>
      <c r="IU985" s="8"/>
      <c r="IV985" s="8"/>
    </row>
    <row r="986" ht="12.75" customHeight="1">
      <c r="A986" s="8"/>
      <c r="HT986" s="8"/>
      <c r="HU986" s="8"/>
      <c r="HV986" s="8"/>
      <c r="HW986" s="8"/>
      <c r="HX986" s="8"/>
      <c r="HY986" s="8"/>
      <c r="HZ986" s="8"/>
      <c r="IA986" s="8"/>
      <c r="IB986" s="8"/>
      <c r="IC986" s="8"/>
      <c r="ID986" s="8"/>
      <c r="IE986" s="8"/>
      <c r="IF986" s="8"/>
      <c r="IG986" s="8"/>
      <c r="IH986" s="8"/>
      <c r="II986" s="8"/>
      <c r="IJ986" s="8"/>
      <c r="IK986" s="8"/>
      <c r="IL986" s="8"/>
      <c r="IM986" s="8"/>
      <c r="IN986" s="8"/>
      <c r="IO986" s="8"/>
      <c r="IP986" s="8"/>
      <c r="IQ986" s="8"/>
      <c r="IR986" s="8"/>
      <c r="IS986" s="8"/>
      <c r="IT986" s="8"/>
      <c r="IU986" s="8"/>
      <c r="IV986" s="8"/>
    </row>
    <row r="987" ht="12.75" customHeight="1">
      <c r="A987" s="8"/>
      <c r="HT987" s="8"/>
      <c r="HU987" s="8"/>
      <c r="HV987" s="8"/>
      <c r="HW987" s="8"/>
      <c r="HX987" s="8"/>
      <c r="HY987" s="8"/>
      <c r="HZ987" s="8"/>
      <c r="IA987" s="8"/>
      <c r="IB987" s="8"/>
      <c r="IC987" s="8"/>
      <c r="ID987" s="8"/>
      <c r="IE987" s="8"/>
      <c r="IF987" s="8"/>
      <c r="IG987" s="8"/>
      <c r="IH987" s="8"/>
      <c r="II987" s="8"/>
      <c r="IJ987" s="8"/>
      <c r="IK987" s="8"/>
      <c r="IL987" s="8"/>
      <c r="IM987" s="8"/>
      <c r="IN987" s="8"/>
      <c r="IO987" s="8"/>
      <c r="IP987" s="8"/>
      <c r="IQ987" s="8"/>
      <c r="IR987" s="8"/>
      <c r="IS987" s="8"/>
      <c r="IT987" s="8"/>
      <c r="IU987" s="8"/>
      <c r="IV987" s="8"/>
    </row>
    <row r="988" ht="12.75" customHeight="1">
      <c r="A988" s="8"/>
      <c r="HT988" s="8"/>
      <c r="HU988" s="8"/>
      <c r="HV988" s="8"/>
      <c r="HW988" s="8"/>
      <c r="HX988" s="8"/>
      <c r="HY988" s="8"/>
      <c r="HZ988" s="8"/>
      <c r="IA988" s="8"/>
      <c r="IB988" s="8"/>
      <c r="IC988" s="8"/>
      <c r="ID988" s="8"/>
      <c r="IE988" s="8"/>
      <c r="IF988" s="8"/>
      <c r="IG988" s="8"/>
      <c r="IH988" s="8"/>
      <c r="II988" s="8"/>
      <c r="IJ988" s="8"/>
      <c r="IK988" s="8"/>
      <c r="IL988" s="8"/>
      <c r="IM988" s="8"/>
      <c r="IN988" s="8"/>
      <c r="IO988" s="8"/>
      <c r="IP988" s="8"/>
      <c r="IQ988" s="8"/>
      <c r="IR988" s="8"/>
      <c r="IS988" s="8"/>
      <c r="IT988" s="8"/>
      <c r="IU988" s="8"/>
      <c r="IV988" s="8"/>
    </row>
    <row r="989" ht="12.75" customHeight="1">
      <c r="A989" s="8"/>
      <c r="HT989" s="8"/>
      <c r="HU989" s="8"/>
      <c r="HV989" s="8"/>
      <c r="HW989" s="8"/>
      <c r="HX989" s="8"/>
      <c r="HY989" s="8"/>
      <c r="HZ989" s="8"/>
      <c r="IA989" s="8"/>
      <c r="IB989" s="8"/>
      <c r="IC989" s="8"/>
      <c r="ID989" s="8"/>
      <c r="IE989" s="8"/>
      <c r="IF989" s="8"/>
      <c r="IG989" s="8"/>
      <c r="IH989" s="8"/>
      <c r="II989" s="8"/>
      <c r="IJ989" s="8"/>
      <c r="IK989" s="8"/>
      <c r="IL989" s="8"/>
      <c r="IM989" s="8"/>
      <c r="IN989" s="8"/>
      <c r="IO989" s="8"/>
      <c r="IP989" s="8"/>
      <c r="IQ989" s="8"/>
      <c r="IR989" s="8"/>
      <c r="IS989" s="8"/>
      <c r="IT989" s="8"/>
      <c r="IU989" s="8"/>
      <c r="IV989" s="8"/>
    </row>
    <row r="990" ht="12.75" customHeight="1">
      <c r="A990" s="8"/>
      <c r="HT990" s="8"/>
      <c r="HU990" s="8"/>
      <c r="HV990" s="8"/>
      <c r="HW990" s="8"/>
      <c r="HX990" s="8"/>
      <c r="HY990" s="8"/>
      <c r="HZ990" s="8"/>
      <c r="IA990" s="8"/>
      <c r="IB990" s="8"/>
      <c r="IC990" s="8"/>
      <c r="ID990" s="8"/>
      <c r="IE990" s="8"/>
      <c r="IF990" s="8"/>
      <c r="IG990" s="8"/>
      <c r="IH990" s="8"/>
      <c r="II990" s="8"/>
      <c r="IJ990" s="8"/>
      <c r="IK990" s="8"/>
      <c r="IL990" s="8"/>
      <c r="IM990" s="8"/>
      <c r="IN990" s="8"/>
      <c r="IO990" s="8"/>
      <c r="IP990" s="8"/>
      <c r="IQ990" s="8"/>
      <c r="IR990" s="8"/>
      <c r="IS990" s="8"/>
      <c r="IT990" s="8"/>
      <c r="IU990" s="8"/>
      <c r="IV990" s="8"/>
    </row>
    <row r="991" ht="12.75" customHeight="1">
      <c r="A991" s="8"/>
      <c r="HT991" s="8"/>
      <c r="HU991" s="8"/>
      <c r="HV991" s="8"/>
      <c r="HW991" s="8"/>
      <c r="HX991" s="8"/>
      <c r="HY991" s="8"/>
      <c r="HZ991" s="8"/>
      <c r="IA991" s="8"/>
      <c r="IB991" s="8"/>
      <c r="IC991" s="8"/>
      <c r="ID991" s="8"/>
      <c r="IE991" s="8"/>
      <c r="IF991" s="8"/>
      <c r="IG991" s="8"/>
      <c r="IH991" s="8"/>
      <c r="II991" s="8"/>
      <c r="IJ991" s="8"/>
      <c r="IK991" s="8"/>
      <c r="IL991" s="8"/>
      <c r="IM991" s="8"/>
      <c r="IN991" s="8"/>
      <c r="IO991" s="8"/>
      <c r="IP991" s="8"/>
      <c r="IQ991" s="8"/>
      <c r="IR991" s="8"/>
      <c r="IS991" s="8"/>
      <c r="IT991" s="8"/>
      <c r="IU991" s="8"/>
      <c r="IV991" s="8"/>
    </row>
    <row r="992" ht="12.75" customHeight="1">
      <c r="A992" s="8"/>
      <c r="HT992" s="8"/>
      <c r="HU992" s="8"/>
      <c r="HV992" s="8"/>
      <c r="HW992" s="8"/>
      <c r="HX992" s="8"/>
      <c r="HY992" s="8"/>
      <c r="HZ992" s="8"/>
      <c r="IA992" s="8"/>
      <c r="IB992" s="8"/>
      <c r="IC992" s="8"/>
      <c r="ID992" s="8"/>
      <c r="IE992" s="8"/>
      <c r="IF992" s="8"/>
      <c r="IG992" s="8"/>
      <c r="IH992" s="8"/>
      <c r="II992" s="8"/>
      <c r="IJ992" s="8"/>
      <c r="IK992" s="8"/>
      <c r="IL992" s="8"/>
      <c r="IM992" s="8"/>
      <c r="IN992" s="8"/>
      <c r="IO992" s="8"/>
      <c r="IP992" s="8"/>
      <c r="IQ992" s="8"/>
      <c r="IR992" s="8"/>
      <c r="IS992" s="8"/>
      <c r="IT992" s="8"/>
      <c r="IU992" s="8"/>
      <c r="IV992" s="8"/>
    </row>
    <row r="993" ht="12.75" customHeight="1">
      <c r="A993" s="8"/>
      <c r="HT993" s="8"/>
      <c r="HU993" s="8"/>
      <c r="HV993" s="8"/>
      <c r="HW993" s="8"/>
      <c r="HX993" s="8"/>
      <c r="HY993" s="8"/>
      <c r="HZ993" s="8"/>
      <c r="IA993" s="8"/>
      <c r="IB993" s="8"/>
      <c r="IC993" s="8"/>
      <c r="ID993" s="8"/>
      <c r="IE993" s="8"/>
      <c r="IF993" s="8"/>
      <c r="IG993" s="8"/>
      <c r="IH993" s="8"/>
      <c r="II993" s="8"/>
      <c r="IJ993" s="8"/>
      <c r="IK993" s="8"/>
      <c r="IL993" s="8"/>
      <c r="IM993" s="8"/>
      <c r="IN993" s="8"/>
      <c r="IO993" s="8"/>
      <c r="IP993" s="8"/>
      <c r="IQ993" s="8"/>
      <c r="IR993" s="8"/>
      <c r="IS993" s="8"/>
      <c r="IT993" s="8"/>
      <c r="IU993" s="8"/>
      <c r="IV993" s="8"/>
    </row>
    <row r="994" ht="12.75" customHeight="1">
      <c r="A994" s="8"/>
      <c r="HT994" s="8"/>
      <c r="HU994" s="8"/>
      <c r="HV994" s="8"/>
      <c r="HW994" s="8"/>
      <c r="HX994" s="8"/>
      <c r="HY994" s="8"/>
      <c r="HZ994" s="8"/>
      <c r="IA994" s="8"/>
      <c r="IB994" s="8"/>
      <c r="IC994" s="8"/>
      <c r="ID994" s="8"/>
      <c r="IE994" s="8"/>
      <c r="IF994" s="8"/>
      <c r="IG994" s="8"/>
      <c r="IH994" s="8"/>
      <c r="II994" s="8"/>
      <c r="IJ994" s="8"/>
      <c r="IK994" s="8"/>
      <c r="IL994" s="8"/>
      <c r="IM994" s="8"/>
      <c r="IN994" s="8"/>
      <c r="IO994" s="8"/>
      <c r="IP994" s="8"/>
      <c r="IQ994" s="8"/>
      <c r="IR994" s="8"/>
      <c r="IS994" s="8"/>
      <c r="IT994" s="8"/>
      <c r="IU994" s="8"/>
      <c r="IV994" s="8"/>
    </row>
    <row r="995" ht="12.75" customHeight="1">
      <c r="A995" s="8"/>
      <c r="HT995" s="8"/>
      <c r="HU995" s="8"/>
      <c r="HV995" s="8"/>
      <c r="HW995" s="8"/>
      <c r="HX995" s="8"/>
      <c r="HY995" s="8"/>
      <c r="HZ995" s="8"/>
      <c r="IA995" s="8"/>
      <c r="IB995" s="8"/>
      <c r="IC995" s="8"/>
      <c r="ID995" s="8"/>
      <c r="IE995" s="8"/>
      <c r="IF995" s="8"/>
      <c r="IG995" s="8"/>
      <c r="IH995" s="8"/>
      <c r="II995" s="8"/>
      <c r="IJ995" s="8"/>
      <c r="IK995" s="8"/>
      <c r="IL995" s="8"/>
      <c r="IM995" s="8"/>
      <c r="IN995" s="8"/>
      <c r="IO995" s="8"/>
      <c r="IP995" s="8"/>
      <c r="IQ995" s="8"/>
      <c r="IR995" s="8"/>
      <c r="IS995" s="8"/>
      <c r="IT995" s="8"/>
      <c r="IU995" s="8"/>
      <c r="IV995" s="8"/>
    </row>
    <row r="996" ht="12.75" customHeight="1">
      <c r="A996" s="8"/>
      <c r="HT996" s="8"/>
      <c r="HU996" s="8"/>
      <c r="HV996" s="8"/>
      <c r="HW996" s="8"/>
      <c r="HX996" s="8"/>
      <c r="HY996" s="8"/>
      <c r="HZ996" s="8"/>
      <c r="IA996" s="8"/>
      <c r="IB996" s="8"/>
      <c r="IC996" s="8"/>
      <c r="ID996" s="8"/>
      <c r="IE996" s="8"/>
      <c r="IF996" s="8"/>
      <c r="IG996" s="8"/>
      <c r="IH996" s="8"/>
      <c r="II996" s="8"/>
      <c r="IJ996" s="8"/>
      <c r="IK996" s="8"/>
      <c r="IL996" s="8"/>
      <c r="IM996" s="8"/>
      <c r="IN996" s="8"/>
      <c r="IO996" s="8"/>
      <c r="IP996" s="8"/>
      <c r="IQ996" s="8"/>
      <c r="IR996" s="8"/>
      <c r="IS996" s="8"/>
      <c r="IT996" s="8"/>
      <c r="IU996" s="8"/>
      <c r="IV996" s="8"/>
    </row>
    <row r="997" ht="12.75" customHeight="1">
      <c r="A997" s="8"/>
      <c r="HT997" s="8"/>
      <c r="HU997" s="8"/>
      <c r="HV997" s="8"/>
      <c r="HW997" s="8"/>
      <c r="HX997" s="8"/>
      <c r="HY997" s="8"/>
      <c r="HZ997" s="8"/>
      <c r="IA997" s="8"/>
      <c r="IB997" s="8"/>
      <c r="IC997" s="8"/>
      <c r="ID997" s="8"/>
      <c r="IE997" s="8"/>
      <c r="IF997" s="8"/>
      <c r="IG997" s="8"/>
      <c r="IH997" s="8"/>
      <c r="II997" s="8"/>
      <c r="IJ997" s="8"/>
      <c r="IK997" s="8"/>
      <c r="IL997" s="8"/>
      <c r="IM997" s="8"/>
      <c r="IN997" s="8"/>
      <c r="IO997" s="8"/>
      <c r="IP997" s="8"/>
      <c r="IQ997" s="8"/>
      <c r="IR997" s="8"/>
      <c r="IS997" s="8"/>
      <c r="IT997" s="8"/>
      <c r="IU997" s="8"/>
      <c r="IV997" s="8"/>
    </row>
    <row r="998" ht="12.75" customHeight="1">
      <c r="A998" s="8"/>
      <c r="HT998" s="8"/>
      <c r="HU998" s="8"/>
      <c r="HV998" s="8"/>
      <c r="HW998" s="8"/>
      <c r="HX998" s="8"/>
      <c r="HY998" s="8"/>
      <c r="HZ998" s="8"/>
      <c r="IA998" s="8"/>
      <c r="IB998" s="8"/>
      <c r="IC998" s="8"/>
      <c r="ID998" s="8"/>
      <c r="IE998" s="8"/>
      <c r="IF998" s="8"/>
      <c r="IG998" s="8"/>
      <c r="IH998" s="8"/>
      <c r="II998" s="8"/>
      <c r="IJ998" s="8"/>
      <c r="IK998" s="8"/>
      <c r="IL998" s="8"/>
      <c r="IM998" s="8"/>
      <c r="IN998" s="8"/>
      <c r="IO998" s="8"/>
      <c r="IP998" s="8"/>
      <c r="IQ998" s="8"/>
      <c r="IR998" s="8"/>
      <c r="IS998" s="8"/>
      <c r="IT998" s="8"/>
      <c r="IU998" s="8"/>
      <c r="IV998" s="8"/>
    </row>
    <row r="999" ht="12.75" customHeight="1">
      <c r="A999" s="8"/>
      <c r="HT999" s="8"/>
      <c r="HU999" s="8"/>
      <c r="HV999" s="8"/>
      <c r="HW999" s="8"/>
      <c r="HX999" s="8"/>
      <c r="HY999" s="8"/>
      <c r="HZ999" s="8"/>
      <c r="IA999" s="8"/>
      <c r="IB999" s="8"/>
      <c r="IC999" s="8"/>
      <c r="ID999" s="8"/>
      <c r="IE999" s="8"/>
      <c r="IF999" s="8"/>
      <c r="IG999" s="8"/>
      <c r="IH999" s="8"/>
      <c r="II999" s="8"/>
      <c r="IJ999" s="8"/>
      <c r="IK999" s="8"/>
      <c r="IL999" s="8"/>
      <c r="IM999" s="8"/>
      <c r="IN999" s="8"/>
      <c r="IO999" s="8"/>
      <c r="IP999" s="8"/>
      <c r="IQ999" s="8"/>
      <c r="IR999" s="8"/>
      <c r="IS999" s="8"/>
      <c r="IT999" s="8"/>
      <c r="IU999" s="8"/>
      <c r="IV999" s="8"/>
    </row>
    <row r="1000" ht="12.75" customHeight="1">
      <c r="A1000" s="8"/>
      <c r="HT1000" s="8"/>
      <c r="HU1000" s="8"/>
      <c r="HV1000" s="8"/>
      <c r="HW1000" s="8"/>
      <c r="HX1000" s="8"/>
      <c r="HY1000" s="8"/>
      <c r="HZ1000" s="8"/>
      <c r="IA1000" s="8"/>
      <c r="IB1000" s="8"/>
      <c r="IC1000" s="8"/>
      <c r="ID1000" s="8"/>
      <c r="IE1000" s="8"/>
      <c r="IF1000" s="8"/>
      <c r="IG1000" s="8"/>
      <c r="IH1000" s="8"/>
      <c r="II1000" s="8"/>
      <c r="IJ1000" s="8"/>
      <c r="IK1000" s="8"/>
      <c r="IL1000" s="8"/>
      <c r="IM1000" s="8"/>
      <c r="IN1000" s="8"/>
      <c r="IO1000" s="8"/>
      <c r="IP1000" s="8"/>
      <c r="IQ1000" s="8"/>
      <c r="IR1000" s="8"/>
      <c r="IS1000" s="8"/>
      <c r="IT1000" s="8"/>
      <c r="IU1000" s="8"/>
      <c r="IV1000" s="8"/>
    </row>
    <row r="1001" ht="12.75" customHeight="1">
      <c r="A1001" s="8"/>
      <c r="HT1001" s="8"/>
      <c r="HU1001" s="8"/>
      <c r="HV1001" s="8"/>
      <c r="HW1001" s="8"/>
      <c r="HX1001" s="8"/>
      <c r="HY1001" s="8"/>
      <c r="HZ1001" s="8"/>
      <c r="IA1001" s="8"/>
      <c r="IB1001" s="8"/>
      <c r="IC1001" s="8"/>
      <c r="ID1001" s="8"/>
      <c r="IE1001" s="8"/>
      <c r="IF1001" s="8"/>
      <c r="IG1001" s="8"/>
      <c r="IH1001" s="8"/>
      <c r="II1001" s="8"/>
      <c r="IJ1001" s="8"/>
      <c r="IK1001" s="8"/>
      <c r="IL1001" s="8"/>
      <c r="IM1001" s="8"/>
      <c r="IN1001" s="8"/>
      <c r="IO1001" s="8"/>
      <c r="IP1001" s="8"/>
      <c r="IQ1001" s="8"/>
      <c r="IR1001" s="8"/>
      <c r="IS1001" s="8"/>
      <c r="IT1001" s="8"/>
      <c r="IU1001" s="8"/>
      <c r="IV1001" s="8"/>
    </row>
    <row r="1002" ht="12.75" customHeight="1">
      <c r="A1002" s="8"/>
      <c r="HT1002" s="8"/>
      <c r="HU1002" s="8"/>
      <c r="HV1002" s="8"/>
      <c r="HW1002" s="8"/>
      <c r="HX1002" s="8"/>
      <c r="HY1002" s="8"/>
      <c r="HZ1002" s="8"/>
      <c r="IA1002" s="8"/>
      <c r="IB1002" s="8"/>
      <c r="IC1002" s="8"/>
      <c r="ID1002" s="8"/>
      <c r="IE1002" s="8"/>
      <c r="IF1002" s="8"/>
      <c r="IG1002" s="8"/>
      <c r="IH1002" s="8"/>
      <c r="II1002" s="8"/>
      <c r="IJ1002" s="8"/>
      <c r="IK1002" s="8"/>
      <c r="IL1002" s="8"/>
      <c r="IM1002" s="8"/>
      <c r="IN1002" s="8"/>
      <c r="IO1002" s="8"/>
      <c r="IP1002" s="8"/>
      <c r="IQ1002" s="8"/>
      <c r="IR1002" s="8"/>
      <c r="IS1002" s="8"/>
      <c r="IT1002" s="8"/>
      <c r="IU1002" s="8"/>
      <c r="IV1002" s="8"/>
    </row>
    <row r="1003" ht="12.75" customHeight="1">
      <c r="A1003" s="8"/>
      <c r="HT1003" s="8"/>
      <c r="HU1003" s="8"/>
      <c r="HV1003" s="8"/>
      <c r="HW1003" s="8"/>
      <c r="HX1003" s="8"/>
      <c r="HY1003" s="8"/>
      <c r="HZ1003" s="8"/>
      <c r="IA1003" s="8"/>
      <c r="IB1003" s="8"/>
      <c r="IC1003" s="8"/>
      <c r="ID1003" s="8"/>
      <c r="IE1003" s="8"/>
      <c r="IF1003" s="8"/>
      <c r="IG1003" s="8"/>
      <c r="IH1003" s="8"/>
      <c r="II1003" s="8"/>
      <c r="IJ1003" s="8"/>
      <c r="IK1003" s="8"/>
      <c r="IL1003" s="8"/>
      <c r="IM1003" s="8"/>
      <c r="IN1003" s="8"/>
      <c r="IO1003" s="8"/>
      <c r="IP1003" s="8"/>
      <c r="IQ1003" s="8"/>
      <c r="IR1003" s="8"/>
      <c r="IS1003" s="8"/>
      <c r="IT1003" s="8"/>
      <c r="IU1003" s="8"/>
      <c r="IV1003" s="8"/>
    </row>
    <row r="1004" ht="12.75" customHeight="1">
      <c r="A1004" s="8"/>
      <c r="HT1004" s="8"/>
      <c r="HU1004" s="8"/>
      <c r="HV1004" s="8"/>
      <c r="HW1004" s="8"/>
      <c r="HX1004" s="8"/>
      <c r="HY1004" s="8"/>
      <c r="HZ1004" s="8"/>
      <c r="IA1004" s="8"/>
      <c r="IB1004" s="8"/>
      <c r="IC1004" s="8"/>
      <c r="ID1004" s="8"/>
      <c r="IE1004" s="8"/>
      <c r="IF1004" s="8"/>
      <c r="IG1004" s="8"/>
      <c r="IH1004" s="8"/>
      <c r="II1004" s="8"/>
      <c r="IJ1004" s="8"/>
      <c r="IK1004" s="8"/>
      <c r="IL1004" s="8"/>
      <c r="IM1004" s="8"/>
      <c r="IN1004" s="8"/>
      <c r="IO1004" s="8"/>
      <c r="IP1004" s="8"/>
      <c r="IQ1004" s="8"/>
      <c r="IR1004" s="8"/>
      <c r="IS1004" s="8"/>
      <c r="IT1004" s="8"/>
      <c r="IU1004" s="8"/>
      <c r="IV1004" s="8"/>
    </row>
    <row r="1005" ht="12.75" customHeight="1">
      <c r="A1005" s="8"/>
      <c r="HT1005" s="8"/>
      <c r="HU1005" s="8"/>
      <c r="HV1005" s="8"/>
      <c r="HW1005" s="8"/>
      <c r="HX1005" s="8"/>
      <c r="HY1005" s="8"/>
      <c r="HZ1005" s="8"/>
      <c r="IA1005" s="8"/>
      <c r="IB1005" s="8"/>
      <c r="IC1005" s="8"/>
      <c r="ID1005" s="8"/>
      <c r="IE1005" s="8"/>
      <c r="IF1005" s="8"/>
      <c r="IG1005" s="8"/>
      <c r="IH1005" s="8"/>
      <c r="II1005" s="8"/>
      <c r="IJ1005" s="8"/>
      <c r="IK1005" s="8"/>
      <c r="IL1005" s="8"/>
      <c r="IM1005" s="8"/>
      <c r="IN1005" s="8"/>
      <c r="IO1005" s="8"/>
      <c r="IP1005" s="8"/>
      <c r="IQ1005" s="8"/>
      <c r="IR1005" s="8"/>
      <c r="IS1005" s="8"/>
      <c r="IT1005" s="8"/>
      <c r="IU1005" s="8"/>
      <c r="IV1005" s="8"/>
    </row>
    <row r="1006" ht="12.75" customHeight="1">
      <c r="A1006" s="8"/>
      <c r="HT1006" s="8"/>
      <c r="HU1006" s="8"/>
      <c r="HV1006" s="8"/>
      <c r="HW1006" s="8"/>
      <c r="HX1006" s="8"/>
      <c r="HY1006" s="8"/>
      <c r="HZ1006" s="8"/>
      <c r="IA1006" s="8"/>
      <c r="IB1006" s="8"/>
      <c r="IC1006" s="8"/>
      <c r="ID1006" s="8"/>
      <c r="IE1006" s="8"/>
      <c r="IF1006" s="8"/>
      <c r="IG1006" s="8"/>
      <c r="IH1006" s="8"/>
      <c r="II1006" s="8"/>
      <c r="IJ1006" s="8"/>
      <c r="IK1006" s="8"/>
      <c r="IL1006" s="8"/>
      <c r="IM1006" s="8"/>
      <c r="IN1006" s="8"/>
      <c r="IO1006" s="8"/>
      <c r="IP1006" s="8"/>
      <c r="IQ1006" s="8"/>
      <c r="IR1006" s="8"/>
      <c r="IS1006" s="8"/>
      <c r="IT1006" s="8"/>
      <c r="IU1006" s="8"/>
      <c r="IV1006" s="8"/>
    </row>
    <row r="1007" ht="12.75" customHeight="1">
      <c r="A1007" s="8"/>
      <c r="HT1007" s="8"/>
      <c r="HU1007" s="8"/>
      <c r="HV1007" s="8"/>
      <c r="HW1007" s="8"/>
      <c r="HX1007" s="8"/>
      <c r="HY1007" s="8"/>
      <c r="HZ1007" s="8"/>
      <c r="IA1007" s="8"/>
      <c r="IB1007" s="8"/>
      <c r="IC1007" s="8"/>
      <c r="ID1007" s="8"/>
      <c r="IE1007" s="8"/>
      <c r="IF1007" s="8"/>
      <c r="IG1007" s="8"/>
      <c r="IH1007" s="8"/>
      <c r="II1007" s="8"/>
      <c r="IJ1007" s="8"/>
      <c r="IK1007" s="8"/>
      <c r="IL1007" s="8"/>
      <c r="IM1007" s="8"/>
      <c r="IN1007" s="8"/>
      <c r="IO1007" s="8"/>
      <c r="IP1007" s="8"/>
      <c r="IQ1007" s="8"/>
      <c r="IR1007" s="8"/>
      <c r="IS1007" s="8"/>
      <c r="IT1007" s="8"/>
      <c r="IU1007" s="8"/>
      <c r="IV1007" s="8"/>
    </row>
    <row r="1008" ht="12.75" customHeight="1">
      <c r="A1008" s="8"/>
      <c r="HT1008" s="8"/>
      <c r="HU1008" s="8"/>
      <c r="HV1008" s="8"/>
      <c r="HW1008" s="8"/>
      <c r="HX1008" s="8"/>
      <c r="HY1008" s="8"/>
      <c r="HZ1008" s="8"/>
      <c r="IA1008" s="8"/>
      <c r="IB1008" s="8"/>
      <c r="IC1008" s="8"/>
      <c r="ID1008" s="8"/>
      <c r="IE1008" s="8"/>
      <c r="IF1008" s="8"/>
      <c r="IG1008" s="8"/>
      <c r="IH1008" s="8"/>
      <c r="II1008" s="8"/>
      <c r="IJ1008" s="8"/>
      <c r="IK1008" s="8"/>
      <c r="IL1008" s="8"/>
      <c r="IM1008" s="8"/>
      <c r="IN1008" s="8"/>
      <c r="IO1008" s="8"/>
      <c r="IP1008" s="8"/>
      <c r="IQ1008" s="8"/>
      <c r="IR1008" s="8"/>
      <c r="IS1008" s="8"/>
      <c r="IT1008" s="8"/>
      <c r="IU1008" s="8"/>
      <c r="IV1008" s="8"/>
    </row>
    <row r="1009" ht="12.75" customHeight="1">
      <c r="A1009" s="8"/>
      <c r="HT1009" s="8"/>
      <c r="HU1009" s="8"/>
      <c r="HV1009" s="8"/>
      <c r="HW1009" s="8"/>
      <c r="HX1009" s="8"/>
      <c r="HY1009" s="8"/>
      <c r="HZ1009" s="8"/>
      <c r="IA1009" s="8"/>
      <c r="IB1009" s="8"/>
      <c r="IC1009" s="8"/>
      <c r="ID1009" s="8"/>
      <c r="IE1009" s="8"/>
      <c r="IF1009" s="8"/>
      <c r="IG1009" s="8"/>
      <c r="IH1009" s="8"/>
      <c r="II1009" s="8"/>
      <c r="IJ1009" s="8"/>
      <c r="IK1009" s="8"/>
      <c r="IL1009" s="8"/>
      <c r="IM1009" s="8"/>
      <c r="IN1009" s="8"/>
      <c r="IO1009" s="8"/>
      <c r="IP1009" s="8"/>
      <c r="IQ1009" s="8"/>
      <c r="IR1009" s="8"/>
      <c r="IS1009" s="8"/>
      <c r="IT1009" s="8"/>
      <c r="IU1009" s="8"/>
      <c r="IV1009" s="8"/>
    </row>
    <row r="1010" ht="12.75" customHeight="1">
      <c r="A1010" s="8"/>
      <c r="HT1010" s="8"/>
      <c r="HU1010" s="8"/>
      <c r="HV1010" s="8"/>
      <c r="HW1010" s="8"/>
      <c r="HX1010" s="8"/>
      <c r="HY1010" s="8"/>
      <c r="HZ1010" s="8"/>
      <c r="IA1010" s="8"/>
      <c r="IB1010" s="8"/>
      <c r="IC1010" s="8"/>
      <c r="ID1010" s="8"/>
      <c r="IE1010" s="8"/>
      <c r="IF1010" s="8"/>
      <c r="IG1010" s="8"/>
      <c r="IH1010" s="8"/>
      <c r="II1010" s="8"/>
      <c r="IJ1010" s="8"/>
      <c r="IK1010" s="8"/>
      <c r="IL1010" s="8"/>
      <c r="IM1010" s="8"/>
      <c r="IN1010" s="8"/>
      <c r="IO1010" s="8"/>
      <c r="IP1010" s="8"/>
      <c r="IQ1010" s="8"/>
      <c r="IR1010" s="8"/>
      <c r="IS1010" s="8"/>
      <c r="IT1010" s="8"/>
      <c r="IU1010" s="8"/>
      <c r="IV1010" s="8"/>
    </row>
    <row r="1011" ht="12.75" customHeight="1">
      <c r="A1011" s="8"/>
      <c r="HT1011" s="8"/>
      <c r="HU1011" s="8"/>
      <c r="HV1011" s="8"/>
      <c r="HW1011" s="8"/>
      <c r="HX1011" s="8"/>
      <c r="HY1011" s="8"/>
      <c r="HZ1011" s="8"/>
      <c r="IA1011" s="8"/>
      <c r="IB1011" s="8"/>
      <c r="IC1011" s="8"/>
      <c r="ID1011" s="8"/>
      <c r="IE1011" s="8"/>
      <c r="IF1011" s="8"/>
      <c r="IG1011" s="8"/>
      <c r="IH1011" s="8"/>
      <c r="II1011" s="8"/>
      <c r="IJ1011" s="8"/>
      <c r="IK1011" s="8"/>
      <c r="IL1011" s="8"/>
      <c r="IM1011" s="8"/>
      <c r="IN1011" s="8"/>
      <c r="IO1011" s="8"/>
      <c r="IP1011" s="8"/>
      <c r="IQ1011" s="8"/>
      <c r="IR1011" s="8"/>
      <c r="IS1011" s="8"/>
      <c r="IT1011" s="8"/>
      <c r="IU1011" s="8"/>
      <c r="IV1011" s="8"/>
    </row>
    <row r="1012" ht="12.75" customHeight="1">
      <c r="A1012" s="8"/>
      <c r="HT1012" s="8"/>
      <c r="HU1012" s="8"/>
      <c r="HV1012" s="8"/>
      <c r="HW1012" s="8"/>
      <c r="HX1012" s="8"/>
      <c r="HY1012" s="8"/>
      <c r="HZ1012" s="8"/>
      <c r="IA1012" s="8"/>
      <c r="IB1012" s="8"/>
      <c r="IC1012" s="8"/>
      <c r="ID1012" s="8"/>
      <c r="IE1012" s="8"/>
      <c r="IF1012" s="8"/>
      <c r="IG1012" s="8"/>
      <c r="IH1012" s="8"/>
      <c r="II1012" s="8"/>
      <c r="IJ1012" s="8"/>
      <c r="IK1012" s="8"/>
      <c r="IL1012" s="8"/>
      <c r="IM1012" s="8"/>
      <c r="IN1012" s="8"/>
      <c r="IO1012" s="8"/>
      <c r="IP1012" s="8"/>
      <c r="IQ1012" s="8"/>
      <c r="IR1012" s="8"/>
      <c r="IS1012" s="8"/>
      <c r="IT1012" s="8"/>
      <c r="IU1012" s="8"/>
      <c r="IV1012" s="8"/>
    </row>
  </sheetData>
  <mergeCells count="38">
    <mergeCell ref="G1:J1"/>
    <mergeCell ref="I2:J2"/>
    <mergeCell ref="C6:E6"/>
    <mergeCell ref="C7:D7"/>
    <mergeCell ref="L9:R9"/>
    <mergeCell ref="S9:Y9"/>
    <mergeCell ref="Z9:AF9"/>
    <mergeCell ref="AG9:AM9"/>
    <mergeCell ref="AN9:AT9"/>
    <mergeCell ref="AU9:BA9"/>
    <mergeCell ref="BB9:BH9"/>
    <mergeCell ref="BI9:BO9"/>
    <mergeCell ref="BP9:BV9"/>
    <mergeCell ref="BW9:CC9"/>
    <mergeCell ref="CD9:CJ9"/>
    <mergeCell ref="CK9:CQ9"/>
    <mergeCell ref="CR9:CX9"/>
    <mergeCell ref="CY9:DE9"/>
    <mergeCell ref="DF9:DL9"/>
    <mergeCell ref="DM9:DS9"/>
    <mergeCell ref="DT9:DZ9"/>
    <mergeCell ref="EA9:EG9"/>
    <mergeCell ref="EH9:EN9"/>
    <mergeCell ref="EO9:EU9"/>
    <mergeCell ref="EV9:FB9"/>
    <mergeCell ref="FC9:FI9"/>
    <mergeCell ref="FJ9:FP9"/>
    <mergeCell ref="FQ9:FW9"/>
    <mergeCell ref="HU9:IA9"/>
    <mergeCell ref="IB9:IH9"/>
    <mergeCell ref="II9:IO9"/>
    <mergeCell ref="FX9:GD9"/>
    <mergeCell ref="GE9:GK9"/>
    <mergeCell ref="GL9:GR9"/>
    <mergeCell ref="GS9:GY9"/>
    <mergeCell ref="GZ9:HF9"/>
    <mergeCell ref="HG9:HM9"/>
    <mergeCell ref="HN9:HT9"/>
  </mergeCells>
  <conditionalFormatting sqref="L11:IO18 L20:IO25 L27:IO33 L35:IO38 L40:IO44 L49:IO51">
    <cfRule type="expression" dxfId="0" priority="1">
      <formula>L$8=$H$4</formula>
    </cfRule>
  </conditionalFormatting>
  <conditionalFormatting sqref="L11:IO18 L20:IO25 L27:IO33 L35:IO38 L40:IO44 L49:IO51">
    <cfRule type="expression" dxfId="1" priority="2">
      <formula>AND(L$8&gt;=$D27,L$8&lt;$D27+$I27)</formula>
    </cfRule>
  </conditionalFormatting>
  <conditionalFormatting sqref="L11:IO18 L20:IO25 L27:IO33 L35:IO38 L40:IO44 L49:IO51">
    <cfRule type="expression" dxfId="2" priority="3">
      <formula>AND(L$8&gt;=$D27,L$8&lt;=$D27+$F27-1)</formula>
    </cfRule>
  </conditionalFormatting>
  <conditionalFormatting sqref="L10:IO10 L19:IO19 L26:IO26 L34:IO34 L39:IO39 L48:IO48">
    <cfRule type="expression" dxfId="0" priority="4">
      <formula>L$8=$H$4</formula>
    </cfRule>
  </conditionalFormatting>
  <conditionalFormatting sqref="L10:IO10 L19:IO19 L26:IO26 L34:IO34 L39:IO39 L48:IO48">
    <cfRule type="expression" dxfId="3" priority="5">
      <formula>AND(L$8&gt;=$D19,L$8&lt;$D19+$I19)</formula>
    </cfRule>
  </conditionalFormatting>
  <conditionalFormatting sqref="L10:IO10 L19:IO19 L26:IO26 L34:IO34 L39:IO39 L48:IO48">
    <cfRule type="expression" dxfId="4" priority="6">
      <formula>AND(L$8&gt;=$D19,L$8&lt;=$D19+$F19-1)</formula>
    </cfRule>
  </conditionalFormatting>
  <printOptions/>
  <pageMargins bottom="0.75" footer="0.0" header="0.0" left="0.7" right="0.7" top="0.75"/>
  <pageSetup orientation="landscape"/>
  <headerFooter>
    <oddFooter>&amp;LGantt Chart Template by Vertex42.com&amp;R© 2008 Vertex42 LLC</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5.0" customHeight="1">
      <c r="A1" s="89" t="s">
        <v>61</v>
      </c>
    </row>
    <row r="2" ht="12.75" customHeight="1">
      <c r="A2" s="90" t="s">
        <v>62</v>
      </c>
    </row>
    <row r="3" ht="12.75" customHeight="1">
      <c r="A3" s="91" t="s">
        <v>63</v>
      </c>
    </row>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A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63"/>
    <col customWidth="1" min="2" max="2" width="37.75"/>
    <col customWidth="1" min="3" max="3" width="23.25"/>
    <col customWidth="1" min="4" max="26" width="8.0"/>
  </cols>
  <sheetData>
    <row r="1" ht="20.25" customHeight="1">
      <c r="A1" s="92" t="s">
        <v>64</v>
      </c>
    </row>
    <row r="2" ht="12.75" customHeight="1"/>
    <row r="3" ht="12.75" customHeight="1"/>
    <row r="4" ht="12.75" customHeight="1">
      <c r="C4" s="93" t="s">
        <v>65</v>
      </c>
    </row>
    <row r="5" ht="12.75" customHeight="1">
      <c r="C5" s="90" t="s">
        <v>66</v>
      </c>
    </row>
    <row r="6" ht="12.75" customHeight="1">
      <c r="C6" s="90" t="s">
        <v>67</v>
      </c>
    </row>
    <row r="7" ht="12.75" customHeight="1"/>
    <row r="8" ht="12.75" customHeight="1">
      <c r="C8" s="90" t="s">
        <v>68</v>
      </c>
    </row>
    <row r="9" ht="12.75" customHeight="1">
      <c r="C9" s="90" t="s">
        <v>69</v>
      </c>
    </row>
    <row r="10" ht="12.75" customHeight="1">
      <c r="C10" s="90" t="s">
        <v>70</v>
      </c>
    </row>
    <row r="11" ht="12.75" customHeight="1"/>
    <row r="12" ht="18.0" customHeight="1">
      <c r="C12" s="94" t="s">
        <v>71</v>
      </c>
    </row>
    <row r="13" ht="12.75" customHeight="1">
      <c r="C13" s="95" t="s">
        <v>63</v>
      </c>
    </row>
    <row r="14" ht="12.75" customHeight="1"/>
    <row r="15" ht="12.75" customHeight="1">
      <c r="C15" s="96" t="s">
        <v>72</v>
      </c>
    </row>
    <row r="16" ht="12.75" customHeight="1"/>
    <row r="17" ht="12.75" customHeight="1">
      <c r="C17" s="96" t="s">
        <v>73</v>
      </c>
    </row>
    <row r="18" ht="12.75" customHeight="1"/>
    <row r="19" ht="12.75" customHeight="1"/>
    <row r="20" ht="15.0" customHeight="1">
      <c r="A20" s="97" t="s">
        <v>74</v>
      </c>
    </row>
    <row r="21" ht="12.75" customHeight="1"/>
    <row r="22" ht="15.0" customHeight="1">
      <c r="B22" s="97" t="s">
        <v>75</v>
      </c>
    </row>
    <row r="23" ht="12.75" customHeight="1">
      <c r="B23" s="90" t="s">
        <v>76</v>
      </c>
    </row>
    <row r="24" ht="12.75" customHeight="1">
      <c r="B24" s="90" t="s">
        <v>77</v>
      </c>
    </row>
    <row r="25" ht="12.75" customHeight="1">
      <c r="B25" s="90" t="s">
        <v>78</v>
      </c>
    </row>
    <row r="26" ht="12.75" customHeight="1"/>
    <row r="27" ht="15.0" customHeight="1">
      <c r="B27" s="97" t="s">
        <v>79</v>
      </c>
    </row>
    <row r="28" ht="12.75" customHeight="1">
      <c r="B28" s="90" t="s">
        <v>80</v>
      </c>
    </row>
    <row r="29" ht="12.75" customHeight="1">
      <c r="B29" s="90" t="s">
        <v>81</v>
      </c>
    </row>
    <row r="30" ht="12.75" customHeight="1">
      <c r="B30" s="90" t="s">
        <v>82</v>
      </c>
    </row>
    <row r="31" ht="12.75" customHeight="1">
      <c r="B31" s="90" t="s">
        <v>83</v>
      </c>
    </row>
    <row r="32" ht="12.75" customHeight="1">
      <c r="B32" s="90" t="s">
        <v>84</v>
      </c>
    </row>
    <row r="33" ht="12.75" customHeight="1">
      <c r="B33" s="90" t="s">
        <v>85</v>
      </c>
    </row>
    <row r="34" ht="12.75" customHeight="1">
      <c r="B34" s="90" t="s">
        <v>86</v>
      </c>
    </row>
    <row r="35" ht="12.75" customHeight="1">
      <c r="B35" s="90" t="s">
        <v>87</v>
      </c>
    </row>
    <row r="36" ht="12.75" customHeight="1">
      <c r="B36" s="90" t="s">
        <v>88</v>
      </c>
    </row>
    <row r="37" ht="12.75" customHeight="1"/>
    <row r="38" ht="15.0" customHeight="1">
      <c r="B38" s="97" t="s">
        <v>89</v>
      </c>
    </row>
    <row r="39" ht="12.75" customHeight="1">
      <c r="B39" s="90" t="s">
        <v>90</v>
      </c>
    </row>
    <row r="40" ht="12.75" customHeight="1">
      <c r="B40" s="90" t="s">
        <v>91</v>
      </c>
    </row>
    <row r="41" ht="12.75" customHeight="1">
      <c r="B41" s="90" t="s">
        <v>92</v>
      </c>
    </row>
    <row r="42" ht="12.75" customHeight="1"/>
    <row r="43" ht="15.0" customHeight="1">
      <c r="B43" s="97" t="s">
        <v>93</v>
      </c>
    </row>
    <row r="44" ht="12.75" customHeight="1">
      <c r="B44" s="90" t="s">
        <v>94</v>
      </c>
    </row>
    <row r="45" ht="12.75" customHeight="1"/>
    <row r="46" ht="15.0" customHeight="1">
      <c r="B46" s="97" t="s">
        <v>95</v>
      </c>
    </row>
    <row r="47" ht="12.75" customHeight="1">
      <c r="B47" s="90" t="s">
        <v>96</v>
      </c>
    </row>
    <row r="48" ht="12.75" customHeight="1">
      <c r="B48" s="90" t="s">
        <v>97</v>
      </c>
    </row>
    <row r="49" ht="12.75" customHeight="1">
      <c r="B49" s="90" t="s">
        <v>98</v>
      </c>
    </row>
    <row r="50" ht="12.75" customHeight="1">
      <c r="B50" s="90" t="s">
        <v>99</v>
      </c>
    </row>
    <row r="51" ht="12.75" customHeight="1">
      <c r="B51" s="90" t="s">
        <v>100</v>
      </c>
    </row>
    <row r="52" ht="12.75" customHeight="1"/>
    <row r="53" ht="15.0" customHeight="1">
      <c r="B53" s="97" t="s">
        <v>101</v>
      </c>
    </row>
    <row r="54" ht="12.75" customHeight="1">
      <c r="B54" s="90" t="s">
        <v>102</v>
      </c>
    </row>
    <row r="55" ht="12.75" customHeight="1">
      <c r="B55" s="90" t="s">
        <v>103</v>
      </c>
    </row>
    <row r="56" ht="12.75" customHeight="1">
      <c r="B56" s="90" t="s">
        <v>104</v>
      </c>
    </row>
    <row r="57" ht="12.75" customHeight="1"/>
    <row r="58" ht="18.0" customHeight="1">
      <c r="B58" s="94" t="s">
        <v>71</v>
      </c>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C12"/>
    <hyperlink r:id="rId2" ref="B58"/>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5.75"/>
    <col customWidth="1" min="2" max="6" width="9.13"/>
    <col customWidth="1" min="7" max="26" width="8.0"/>
  </cols>
  <sheetData>
    <row r="1" ht="30.0" customHeight="1">
      <c r="A1" s="98" t="s">
        <v>105</v>
      </c>
      <c r="B1" s="99"/>
      <c r="C1" s="99"/>
      <c r="D1" s="99"/>
      <c r="E1" s="99"/>
      <c r="F1" s="99"/>
      <c r="G1" s="99"/>
      <c r="H1" s="99"/>
      <c r="I1" s="99"/>
      <c r="J1" s="99"/>
      <c r="K1" s="99"/>
      <c r="L1" s="99"/>
      <c r="M1" s="99"/>
      <c r="N1" s="99"/>
      <c r="O1" s="99"/>
      <c r="P1" s="99"/>
      <c r="Q1" s="99"/>
      <c r="R1" s="99"/>
      <c r="S1" s="99"/>
      <c r="T1" s="99"/>
      <c r="U1" s="99"/>
      <c r="V1" s="99"/>
      <c r="W1" s="99"/>
      <c r="X1" s="99"/>
      <c r="Y1" s="99"/>
      <c r="Z1" s="99"/>
    </row>
    <row r="2" ht="15.0" customHeight="1">
      <c r="A2" s="100"/>
      <c r="B2" s="89"/>
      <c r="C2" s="89"/>
      <c r="D2" s="89"/>
      <c r="E2" s="89"/>
      <c r="F2" s="89"/>
      <c r="G2" s="89"/>
      <c r="H2" s="89"/>
      <c r="I2" s="89"/>
      <c r="J2" s="89"/>
      <c r="K2" s="89"/>
      <c r="L2" s="89"/>
      <c r="M2" s="89"/>
      <c r="N2" s="89"/>
      <c r="O2" s="89"/>
      <c r="P2" s="89"/>
      <c r="Q2" s="89"/>
      <c r="R2" s="89"/>
      <c r="S2" s="89"/>
      <c r="T2" s="89"/>
      <c r="U2" s="89"/>
      <c r="V2" s="89"/>
      <c r="W2" s="89"/>
      <c r="X2" s="89"/>
      <c r="Y2" s="89"/>
      <c r="Z2" s="89"/>
    </row>
    <row r="3" ht="15.0" customHeight="1">
      <c r="A3" s="100" t="s">
        <v>106</v>
      </c>
      <c r="B3" s="89"/>
      <c r="C3" s="89"/>
      <c r="D3" s="89"/>
      <c r="E3" s="89"/>
      <c r="F3" s="89"/>
      <c r="G3" s="89"/>
      <c r="H3" s="89"/>
      <c r="I3" s="89"/>
      <c r="J3" s="89"/>
      <c r="K3" s="89"/>
      <c r="L3" s="89"/>
      <c r="M3" s="89"/>
      <c r="N3" s="89"/>
      <c r="O3" s="89"/>
      <c r="P3" s="89"/>
      <c r="Q3" s="89"/>
      <c r="R3" s="89"/>
      <c r="S3" s="89"/>
      <c r="T3" s="89"/>
      <c r="U3" s="89"/>
      <c r="V3" s="89"/>
      <c r="W3" s="89"/>
      <c r="X3" s="89"/>
      <c r="Y3" s="89"/>
      <c r="Z3" s="89"/>
    </row>
    <row r="4" ht="15.0" customHeight="1">
      <c r="A4" s="100"/>
      <c r="B4" s="89"/>
      <c r="C4" s="89"/>
      <c r="D4" s="89"/>
      <c r="E4" s="89"/>
      <c r="F4" s="89"/>
      <c r="G4" s="89"/>
      <c r="H4" s="89"/>
      <c r="I4" s="89"/>
      <c r="J4" s="89"/>
      <c r="K4" s="89"/>
      <c r="L4" s="89"/>
      <c r="M4" s="89"/>
      <c r="N4" s="89"/>
      <c r="O4" s="89"/>
      <c r="P4" s="89"/>
      <c r="Q4" s="89"/>
      <c r="R4" s="89"/>
      <c r="S4" s="89"/>
      <c r="T4" s="89"/>
      <c r="U4" s="89"/>
      <c r="V4" s="89"/>
      <c r="W4" s="89"/>
      <c r="X4" s="89"/>
      <c r="Y4" s="89"/>
      <c r="Z4" s="89"/>
    </row>
    <row r="5" ht="45.0" customHeight="1">
      <c r="A5" s="101" t="s">
        <v>107</v>
      </c>
      <c r="B5" s="89"/>
      <c r="C5" s="89"/>
      <c r="D5" s="89"/>
      <c r="E5" s="89"/>
      <c r="F5" s="89"/>
      <c r="G5" s="89"/>
      <c r="H5" s="89"/>
      <c r="I5" s="89"/>
      <c r="J5" s="89"/>
      <c r="K5" s="89"/>
      <c r="L5" s="89"/>
      <c r="M5" s="89"/>
      <c r="N5" s="89"/>
      <c r="O5" s="89"/>
      <c r="P5" s="89"/>
      <c r="Q5" s="89"/>
      <c r="R5" s="89"/>
      <c r="S5" s="89"/>
      <c r="T5" s="89"/>
      <c r="U5" s="89"/>
      <c r="V5" s="89"/>
      <c r="W5" s="89"/>
      <c r="X5" s="89"/>
      <c r="Y5" s="89"/>
      <c r="Z5" s="89"/>
    </row>
    <row r="6" ht="15.0" customHeight="1">
      <c r="A6" s="101"/>
      <c r="B6" s="89"/>
      <c r="C6" s="89"/>
      <c r="D6" s="89"/>
      <c r="E6" s="89"/>
      <c r="F6" s="89"/>
      <c r="G6" s="89"/>
      <c r="H6" s="89"/>
      <c r="I6" s="89"/>
      <c r="J6" s="89"/>
      <c r="K6" s="89"/>
      <c r="L6" s="89"/>
      <c r="M6" s="89"/>
      <c r="N6" s="89"/>
      <c r="O6" s="89"/>
      <c r="P6" s="89"/>
      <c r="Q6" s="89"/>
      <c r="R6" s="89"/>
      <c r="S6" s="89"/>
      <c r="T6" s="89"/>
      <c r="U6" s="89"/>
      <c r="V6" s="89"/>
      <c r="W6" s="89"/>
      <c r="X6" s="89"/>
      <c r="Y6" s="89"/>
      <c r="Z6" s="89"/>
    </row>
    <row r="7" ht="15.0" customHeight="1">
      <c r="A7" s="102"/>
      <c r="B7" s="89"/>
      <c r="C7" s="89"/>
      <c r="D7" s="89"/>
      <c r="E7" s="89"/>
      <c r="F7" s="89"/>
      <c r="G7" s="89"/>
      <c r="H7" s="89"/>
      <c r="I7" s="89"/>
      <c r="J7" s="89"/>
      <c r="K7" s="89"/>
      <c r="L7" s="89"/>
      <c r="M7" s="89"/>
      <c r="N7" s="89"/>
      <c r="O7" s="89"/>
      <c r="P7" s="89"/>
      <c r="Q7" s="89"/>
      <c r="R7" s="89"/>
      <c r="S7" s="89"/>
      <c r="T7" s="89"/>
      <c r="U7" s="89"/>
      <c r="V7" s="89"/>
      <c r="W7" s="89"/>
      <c r="X7" s="89"/>
      <c r="Y7" s="89"/>
      <c r="Z7" s="89"/>
    </row>
    <row r="8" ht="18.0" customHeight="1">
      <c r="A8" s="103" t="s">
        <v>108</v>
      </c>
      <c r="B8" s="89"/>
      <c r="C8" s="89"/>
      <c r="D8" s="89"/>
      <c r="E8" s="89"/>
      <c r="F8" s="89"/>
      <c r="G8" s="89"/>
      <c r="H8" s="89"/>
      <c r="I8" s="89"/>
      <c r="J8" s="89"/>
      <c r="K8" s="89"/>
      <c r="L8" s="89"/>
      <c r="M8" s="89"/>
      <c r="N8" s="89"/>
      <c r="O8" s="89"/>
      <c r="P8" s="89"/>
      <c r="Q8" s="89"/>
      <c r="R8" s="89"/>
      <c r="S8" s="89"/>
      <c r="T8" s="89"/>
      <c r="U8" s="89"/>
      <c r="V8" s="89"/>
      <c r="W8" s="89"/>
      <c r="X8" s="89"/>
      <c r="Y8" s="89"/>
      <c r="Z8" s="89"/>
    </row>
    <row r="9" ht="15.75" customHeight="1">
      <c r="A9" s="104"/>
      <c r="B9" s="89"/>
      <c r="C9" s="89"/>
      <c r="D9" s="89"/>
      <c r="E9" s="89"/>
      <c r="F9" s="89"/>
      <c r="G9" s="89"/>
      <c r="H9" s="89"/>
      <c r="I9" s="89"/>
      <c r="J9" s="89"/>
      <c r="K9" s="89"/>
      <c r="L9" s="89"/>
      <c r="M9" s="89"/>
      <c r="N9" s="89"/>
      <c r="O9" s="89"/>
      <c r="P9" s="89"/>
      <c r="Q9" s="89"/>
      <c r="R9" s="89"/>
      <c r="S9" s="89"/>
      <c r="T9" s="89"/>
      <c r="U9" s="89"/>
      <c r="V9" s="89"/>
      <c r="W9" s="89"/>
      <c r="X9" s="89"/>
      <c r="Y9" s="89"/>
      <c r="Z9" s="89"/>
    </row>
    <row r="10" ht="31.5" customHeight="1">
      <c r="A10" s="105" t="s">
        <v>109</v>
      </c>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row r="11" ht="15.75" customHeight="1">
      <c r="A11" s="104"/>
      <c r="B11" s="89"/>
      <c r="C11" s="89"/>
      <c r="D11" s="89"/>
      <c r="E11" s="89"/>
      <c r="F11" s="89"/>
      <c r="G11" s="89"/>
      <c r="H11" s="89"/>
      <c r="I11" s="89"/>
      <c r="J11" s="89"/>
      <c r="K11" s="89"/>
      <c r="L11" s="89"/>
      <c r="M11" s="89"/>
      <c r="N11" s="89"/>
      <c r="O11" s="89"/>
      <c r="P11" s="89"/>
      <c r="Q11" s="89"/>
      <c r="R11" s="89"/>
      <c r="S11" s="89"/>
      <c r="T11" s="89"/>
      <c r="U11" s="89"/>
      <c r="V11" s="89"/>
      <c r="W11" s="89"/>
      <c r="X11" s="89"/>
      <c r="Y11" s="89"/>
      <c r="Z11" s="89"/>
    </row>
    <row r="12" ht="31.5" customHeight="1">
      <c r="A12" s="105" t="s">
        <v>110</v>
      </c>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ht="15.0" customHeight="1">
      <c r="A13" s="101"/>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ht="47.25" customHeight="1">
      <c r="A14" s="105" t="s">
        <v>111</v>
      </c>
      <c r="B14" s="89"/>
      <c r="C14" s="89"/>
      <c r="D14" s="89"/>
      <c r="E14" s="89"/>
      <c r="F14" s="89"/>
      <c r="G14" s="89"/>
      <c r="H14" s="89"/>
      <c r="I14" s="89"/>
      <c r="J14" s="89"/>
      <c r="K14" s="89"/>
      <c r="L14" s="89"/>
      <c r="M14" s="89"/>
      <c r="N14" s="89"/>
      <c r="O14" s="89"/>
      <c r="P14" s="89"/>
      <c r="Q14" s="89"/>
      <c r="R14" s="89"/>
      <c r="S14" s="89"/>
      <c r="T14" s="89"/>
      <c r="U14" s="89"/>
      <c r="V14" s="89"/>
      <c r="W14" s="89"/>
      <c r="X14" s="89"/>
      <c r="Y14" s="89"/>
      <c r="Z14" s="89"/>
    </row>
    <row r="15" ht="15.0" customHeight="1">
      <c r="A15" s="100"/>
      <c r="B15" s="89"/>
      <c r="C15" s="89"/>
      <c r="D15" s="89"/>
      <c r="E15" s="89"/>
      <c r="F15" s="89"/>
      <c r="G15" s="89"/>
      <c r="H15" s="89"/>
      <c r="I15" s="89"/>
      <c r="J15" s="89"/>
      <c r="K15" s="89"/>
      <c r="L15" s="89"/>
      <c r="M15" s="89"/>
      <c r="N15" s="89"/>
      <c r="O15" s="89"/>
      <c r="P15" s="89"/>
      <c r="Q15" s="89"/>
      <c r="R15" s="89"/>
      <c r="S15" s="89"/>
      <c r="T15" s="89"/>
      <c r="U15" s="89"/>
      <c r="V15" s="89"/>
      <c r="W15" s="89"/>
      <c r="X15" s="89"/>
      <c r="Y15" s="89"/>
      <c r="Z15" s="89"/>
    </row>
    <row r="16" ht="15.0" customHeight="1">
      <c r="A16" s="89"/>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ht="18.0" customHeight="1">
      <c r="A17" s="103" t="s">
        <v>112</v>
      </c>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ht="15.0" customHeight="1">
      <c r="A18" s="101"/>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ht="45.75" customHeight="1">
      <c r="A19" s="101" t="s">
        <v>113</v>
      </c>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ht="15.0" customHeight="1">
      <c r="A20" s="101"/>
      <c r="B20" s="8"/>
      <c r="C20" s="8"/>
      <c r="D20" s="8"/>
      <c r="E20" s="8"/>
      <c r="F20" s="8"/>
      <c r="G20" s="8"/>
      <c r="H20" s="8"/>
      <c r="I20" s="8"/>
      <c r="J20" s="8"/>
      <c r="K20" s="8"/>
      <c r="L20" s="8"/>
      <c r="M20" s="8"/>
      <c r="N20" s="8"/>
      <c r="O20" s="8"/>
      <c r="P20" s="8"/>
      <c r="Q20" s="8"/>
      <c r="R20" s="8"/>
      <c r="S20" s="8"/>
      <c r="T20" s="8"/>
      <c r="U20" s="8"/>
      <c r="V20" s="8"/>
      <c r="W20" s="8"/>
      <c r="X20" s="8"/>
      <c r="Y20" s="8"/>
      <c r="Z20" s="8"/>
    </row>
    <row r="21" ht="45.75" customHeight="1">
      <c r="A21" s="101" t="s">
        <v>114</v>
      </c>
      <c r="B21" s="8"/>
      <c r="C21" s="8"/>
      <c r="D21" s="8"/>
      <c r="E21" s="8"/>
      <c r="F21" s="8"/>
      <c r="G21" s="8"/>
      <c r="H21" s="8"/>
      <c r="I21" s="8"/>
      <c r="J21" s="8"/>
      <c r="K21" s="8"/>
      <c r="L21" s="8"/>
      <c r="M21" s="8"/>
      <c r="N21" s="8"/>
      <c r="O21" s="8"/>
      <c r="P21" s="8"/>
      <c r="Q21" s="8"/>
      <c r="R21" s="8"/>
      <c r="S21" s="8"/>
      <c r="T21" s="8"/>
      <c r="U21" s="8"/>
      <c r="V21" s="8"/>
      <c r="W21" s="8"/>
      <c r="X21" s="8"/>
      <c r="Y21" s="8"/>
      <c r="Z21" s="8"/>
    </row>
    <row r="22" ht="15.0" customHeight="1">
      <c r="A22" s="101"/>
      <c r="B22" s="8"/>
      <c r="C22" s="8"/>
      <c r="D22" s="8"/>
      <c r="E22" s="8"/>
      <c r="F22" s="8"/>
      <c r="G22" s="8"/>
      <c r="H22" s="8"/>
      <c r="I22" s="8"/>
      <c r="J22" s="8"/>
      <c r="K22" s="8"/>
      <c r="L22" s="8"/>
      <c r="M22" s="8"/>
      <c r="N22" s="8"/>
      <c r="O22" s="8"/>
      <c r="P22" s="8"/>
      <c r="Q22" s="8"/>
      <c r="R22" s="8"/>
      <c r="S22" s="8"/>
      <c r="T22" s="8"/>
      <c r="U22" s="8"/>
      <c r="V22" s="8"/>
      <c r="W22" s="8"/>
      <c r="X22" s="8"/>
      <c r="Y22" s="8"/>
      <c r="Z22" s="8"/>
    </row>
    <row r="23" ht="45.0" customHeight="1">
      <c r="A23" s="101" t="s">
        <v>115</v>
      </c>
      <c r="B23" s="8"/>
      <c r="C23" s="8"/>
      <c r="D23" s="8"/>
      <c r="E23" s="8"/>
      <c r="F23" s="8"/>
      <c r="G23" s="8"/>
      <c r="H23" s="8"/>
      <c r="I23" s="8"/>
      <c r="J23" s="8"/>
      <c r="K23" s="8"/>
      <c r="L23" s="8"/>
      <c r="M23" s="8"/>
      <c r="N23" s="8"/>
      <c r="O23" s="8"/>
      <c r="P23" s="8"/>
      <c r="Q23" s="8"/>
      <c r="R23" s="8"/>
      <c r="S23" s="8"/>
      <c r="T23" s="8"/>
      <c r="U23" s="8"/>
      <c r="V23" s="8"/>
      <c r="W23" s="8"/>
      <c r="X23" s="8"/>
      <c r="Y23" s="8"/>
      <c r="Z23" s="8"/>
    </row>
    <row r="24" ht="15.0" customHeight="1">
      <c r="A24" s="101"/>
      <c r="B24" s="8"/>
      <c r="C24" s="8"/>
      <c r="D24" s="8"/>
      <c r="E24" s="8"/>
      <c r="F24" s="8"/>
      <c r="G24" s="8"/>
      <c r="H24" s="8"/>
      <c r="I24" s="8"/>
      <c r="J24" s="8"/>
      <c r="K24" s="8"/>
      <c r="L24" s="8"/>
      <c r="M24" s="8"/>
      <c r="N24" s="8"/>
      <c r="O24" s="8"/>
      <c r="P24" s="8"/>
      <c r="Q24" s="8"/>
      <c r="R24" s="8"/>
      <c r="S24" s="8"/>
      <c r="T24" s="8"/>
      <c r="U24" s="8"/>
      <c r="V24" s="8"/>
      <c r="W24" s="8"/>
      <c r="X24" s="8"/>
      <c r="Y24" s="8"/>
      <c r="Z24" s="8"/>
    </row>
    <row r="25" ht="30.0" customHeight="1">
      <c r="A25" s="101" t="s">
        <v>116</v>
      </c>
      <c r="B25" s="8"/>
      <c r="C25" s="8"/>
      <c r="D25" s="8"/>
      <c r="E25" s="8"/>
      <c r="F25" s="8"/>
      <c r="G25" s="8"/>
      <c r="H25" s="8"/>
      <c r="I25" s="8"/>
      <c r="J25" s="8"/>
      <c r="K25" s="8"/>
      <c r="L25" s="8"/>
      <c r="M25" s="8"/>
      <c r="N25" s="8"/>
      <c r="O25" s="8"/>
      <c r="P25" s="8"/>
      <c r="Q25" s="8"/>
      <c r="R25" s="8"/>
      <c r="S25" s="8"/>
      <c r="T25" s="8"/>
      <c r="U25" s="8"/>
      <c r="V25" s="8"/>
      <c r="W25" s="8"/>
      <c r="X25" s="8"/>
      <c r="Y25" s="8"/>
      <c r="Z25" s="8"/>
    </row>
    <row r="26" ht="15.0" customHeight="1">
      <c r="A26" s="106" t="s">
        <v>117</v>
      </c>
      <c r="B26" s="8"/>
      <c r="C26" s="8"/>
      <c r="D26" s="8"/>
      <c r="E26" s="8"/>
      <c r="F26" s="8"/>
      <c r="G26" s="8"/>
      <c r="H26" s="8"/>
      <c r="I26" s="8"/>
      <c r="J26" s="8"/>
      <c r="K26" s="8"/>
      <c r="L26" s="8"/>
      <c r="M26" s="8"/>
      <c r="N26" s="8"/>
      <c r="O26" s="8"/>
      <c r="P26" s="8"/>
      <c r="Q26" s="8"/>
      <c r="R26" s="8"/>
      <c r="S26" s="8"/>
      <c r="T26" s="8"/>
      <c r="U26" s="8"/>
      <c r="V26" s="8"/>
      <c r="W26" s="8"/>
      <c r="X26" s="8"/>
      <c r="Y26" s="8"/>
      <c r="Z26" s="8"/>
    </row>
    <row r="27" ht="15.0" customHeight="1">
      <c r="A27" s="101"/>
      <c r="B27" s="8"/>
      <c r="C27" s="8"/>
      <c r="D27" s="8"/>
      <c r="E27" s="8"/>
      <c r="F27" s="8"/>
      <c r="G27" s="8"/>
      <c r="H27" s="8"/>
      <c r="I27" s="8"/>
      <c r="J27" s="8"/>
      <c r="K27" s="8"/>
      <c r="L27" s="8"/>
      <c r="M27" s="8"/>
      <c r="N27" s="8"/>
      <c r="O27" s="8"/>
      <c r="P27" s="8"/>
      <c r="Q27" s="8"/>
      <c r="R27" s="8"/>
      <c r="S27" s="8"/>
      <c r="T27" s="8"/>
      <c r="U27" s="8"/>
      <c r="V27" s="8"/>
      <c r="W27" s="8"/>
      <c r="X27" s="8"/>
      <c r="Y27" s="8"/>
      <c r="Z27" s="8"/>
    </row>
    <row r="28" ht="15.0" customHeight="1">
      <c r="A28" s="101"/>
      <c r="B28" s="8"/>
      <c r="C28" s="8"/>
      <c r="D28" s="8"/>
      <c r="E28" s="8"/>
      <c r="F28" s="8"/>
      <c r="G28" s="8"/>
      <c r="H28" s="8"/>
      <c r="I28" s="8"/>
      <c r="J28" s="8"/>
      <c r="K28" s="8"/>
      <c r="L28" s="8"/>
      <c r="M28" s="8"/>
      <c r="N28" s="8"/>
      <c r="O28" s="8"/>
      <c r="P28" s="8"/>
      <c r="Q28" s="8"/>
      <c r="R28" s="8"/>
      <c r="S28" s="8"/>
      <c r="T28" s="8"/>
      <c r="U28" s="8"/>
      <c r="V28" s="8"/>
      <c r="W28" s="8"/>
      <c r="X28" s="8"/>
      <c r="Y28" s="8"/>
      <c r="Z28" s="8"/>
    </row>
    <row r="29" ht="18.0" customHeight="1">
      <c r="A29" s="103" t="s">
        <v>118</v>
      </c>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ht="12.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30.0" customHeight="1">
      <c r="A31" s="101" t="s">
        <v>119</v>
      </c>
      <c r="B31" s="8"/>
      <c r="C31" s="8"/>
      <c r="D31" s="8"/>
      <c r="E31" s="8"/>
      <c r="F31" s="8"/>
      <c r="G31" s="8"/>
      <c r="H31" s="8"/>
      <c r="I31" s="8"/>
      <c r="J31" s="8"/>
      <c r="K31" s="8"/>
      <c r="L31" s="8"/>
      <c r="M31" s="8"/>
      <c r="N31" s="8"/>
      <c r="O31" s="8"/>
      <c r="P31" s="8"/>
      <c r="Q31" s="8"/>
      <c r="R31" s="8"/>
      <c r="S31" s="8"/>
      <c r="T31" s="8"/>
      <c r="U31" s="8"/>
      <c r="V31" s="8"/>
      <c r="W31" s="8"/>
      <c r="X31" s="8"/>
      <c r="Y31" s="8"/>
      <c r="Z31" s="8"/>
    </row>
    <row r="32" ht="12.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30.0" customHeight="1">
      <c r="A33" s="101" t="s">
        <v>120</v>
      </c>
      <c r="B33" s="8"/>
      <c r="C33" s="8"/>
      <c r="D33" s="8"/>
      <c r="E33" s="8"/>
      <c r="F33" s="8"/>
      <c r="G33" s="8"/>
      <c r="H33" s="8"/>
      <c r="I33" s="8"/>
      <c r="J33" s="8"/>
      <c r="K33" s="8"/>
      <c r="L33" s="8"/>
      <c r="M33" s="8"/>
      <c r="N33" s="8"/>
      <c r="O33" s="8"/>
      <c r="P33" s="8"/>
      <c r="Q33" s="8"/>
      <c r="R33" s="8"/>
      <c r="S33" s="8"/>
      <c r="T33" s="8"/>
      <c r="U33" s="8"/>
      <c r="V33" s="8"/>
      <c r="W33" s="8"/>
      <c r="X33" s="8"/>
      <c r="Y33" s="8"/>
      <c r="Z33" s="8"/>
    </row>
    <row r="34" ht="12.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30.0" customHeight="1">
      <c r="A35" s="101" t="s">
        <v>121</v>
      </c>
      <c r="B35" s="8"/>
      <c r="C35" s="8"/>
      <c r="D35" s="8"/>
      <c r="E35" s="8"/>
      <c r="F35" s="8"/>
      <c r="G35" s="8"/>
      <c r="H35" s="8"/>
      <c r="I35" s="8"/>
      <c r="J35" s="8"/>
      <c r="K35" s="8"/>
      <c r="L35" s="8"/>
      <c r="M35" s="8"/>
      <c r="N35" s="8"/>
      <c r="O35" s="8"/>
      <c r="P35" s="8"/>
      <c r="Q35" s="8"/>
      <c r="R35" s="8"/>
      <c r="S35" s="8"/>
      <c r="T35" s="8"/>
      <c r="U35" s="8"/>
      <c r="V35" s="8"/>
      <c r="W35" s="8"/>
      <c r="X35" s="8"/>
      <c r="Y35" s="8"/>
      <c r="Z35" s="8"/>
    </row>
    <row r="36" ht="12.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2.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2.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2.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2.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2.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2.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2.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2.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2.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2.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2.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2.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2.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2.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2.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2.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2.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2.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2.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2.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2.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2.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2.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2.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2.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2.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2.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2.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2.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2.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2.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2.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2.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2.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2.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2.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2.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2.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2.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2.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2.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2.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2.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2.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2.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2.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2.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2.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2.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2.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2.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2.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2.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2.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2.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2.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2.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2.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2.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2.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2.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2" ref="A26"/>
  </hyperlinks>
  <printOptions/>
  <pageMargins bottom="0.75" footer="0.0" header="0.0" left="0.7" right="0.7" top="0.75"/>
  <pageSetup orientation="landscape"/>
  <drawing r:id="rId3"/>
  <legacyDrawing r:id="rId4"/>
</worksheet>
</file>