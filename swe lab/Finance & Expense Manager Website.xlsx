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istic Budget" sheetId="1" r:id="rId4"/>
  </sheets>
  <definedNames/>
  <calcPr/>
  <extLst>
    <ext uri="GoogleSheetsCustomDataVersion2">
      <go:sheetsCustomData xmlns:go="http://customooxmlschemas.google.com/" r:id="rId5" roundtripDataChecksum="FcWsqeSyPxktYB/TEsZ7eRlwSeUnHKAmb+QQajdIJk0="/>
    </ext>
  </extLst>
</workbook>
</file>

<file path=xl/sharedStrings.xml><?xml version="1.0" encoding="utf-8"?>
<sst xmlns="http://schemas.openxmlformats.org/spreadsheetml/2006/main" count="29" uniqueCount="24">
  <si>
    <t>Project Name</t>
  </si>
  <si>
    <t>Flood and Cyclone Early Warning System</t>
  </si>
  <si>
    <t>Assumptions</t>
  </si>
  <si>
    <t>Project Manager</t>
  </si>
  <si>
    <t>Md. Hasibul Islam Hemel</t>
  </si>
  <si>
    <t>Start Date</t>
  </si>
  <si>
    <t>19/8/25</t>
  </si>
  <si>
    <t>End Date</t>
  </si>
  <si>
    <t>13/11/25</t>
  </si>
  <si>
    <t>Current Date</t>
  </si>
  <si>
    <t>Budget and Forecast</t>
  </si>
  <si>
    <t>FY22</t>
  </si>
  <si>
    <t>FY23</t>
  </si>
  <si>
    <t>Budget</t>
  </si>
  <si>
    <t>Forecast</t>
  </si>
  <si>
    <t>Variance</t>
  </si>
  <si>
    <t>Project Costs</t>
  </si>
  <si>
    <t>Developer</t>
  </si>
  <si>
    <t>Tester</t>
  </si>
  <si>
    <t>Software Tools (VS Code, XAMPP, Hosting, Domain)</t>
  </si>
  <si>
    <t>Travel/Communication (Meetings, Internet)</t>
  </si>
  <si>
    <t>Miscellaneous/Materials</t>
  </si>
  <si>
    <t>Training/Presentation/Printing</t>
  </si>
  <si>
    <t>Sub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</si>
</sst>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2" fillId="2" fontId="1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2" fontId="1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1" fillId="0" fontId="2" numFmtId="3" xfId="0" applyAlignment="1" applyBorder="1" applyFont="1" applyNumberFormat="1">
      <alignment readingOrder="0"/>
    </xf>
    <xf borderId="1" fillId="0" fontId="2" numFmtId="3" xfId="0" applyBorder="1" applyFont="1" applyNumberFormat="1"/>
    <xf borderId="1" fillId="4" fontId="2" numFmtId="0" xfId="0" applyAlignment="1" applyBorder="1" applyFill="1" applyFont="1">
      <alignment readingOrder="0"/>
    </xf>
    <xf borderId="1" fillId="4" fontId="2" numFmtId="0" xfId="0" applyBorder="1" applyFont="1"/>
    <xf borderId="1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43"/>
    <col customWidth="1" min="2" max="7" width="16.0"/>
    <col customWidth="1" min="8" max="24" width="8.71"/>
  </cols>
  <sheetData>
    <row r="1">
      <c r="A1" s="1" t="s">
        <v>0</v>
      </c>
      <c r="B1" s="2" t="s">
        <v>1</v>
      </c>
      <c r="C1" s="3"/>
      <c r="D1" s="3"/>
      <c r="E1" s="4" t="s">
        <v>2</v>
      </c>
      <c r="F1" s="5"/>
      <c r="G1" s="6"/>
    </row>
    <row r="2">
      <c r="A2" s="1" t="s">
        <v>3</v>
      </c>
      <c r="B2" s="2" t="s">
        <v>4</v>
      </c>
      <c r="C2" s="3"/>
      <c r="D2" s="3"/>
      <c r="E2" s="3"/>
      <c r="F2" s="3"/>
      <c r="G2" s="3"/>
    </row>
    <row r="3">
      <c r="A3" s="1" t="s">
        <v>5</v>
      </c>
      <c r="B3" s="2" t="s">
        <v>6</v>
      </c>
      <c r="C3" s="3"/>
      <c r="D3" s="3"/>
      <c r="E3" s="3"/>
      <c r="F3" s="3"/>
      <c r="G3" s="3"/>
    </row>
    <row r="4">
      <c r="A4" s="1" t="s">
        <v>7</v>
      </c>
      <c r="B4" s="2" t="s">
        <v>8</v>
      </c>
      <c r="C4" s="3"/>
      <c r="D4" s="3"/>
      <c r="E4" s="3"/>
      <c r="F4" s="3"/>
      <c r="G4" s="3"/>
    </row>
    <row r="5">
      <c r="A5" s="1" t="s">
        <v>9</v>
      </c>
      <c r="B5" s="2" t="s">
        <v>8</v>
      </c>
      <c r="C5" s="3"/>
      <c r="D5" s="3"/>
      <c r="E5" s="3"/>
      <c r="F5" s="3"/>
      <c r="G5" s="3"/>
    </row>
    <row r="6">
      <c r="A6" s="7" t="s">
        <v>10</v>
      </c>
      <c r="B6" s="3"/>
      <c r="C6" s="3"/>
      <c r="D6" s="3"/>
      <c r="E6" s="3"/>
      <c r="F6" s="3"/>
      <c r="G6" s="3"/>
    </row>
    <row r="7">
      <c r="A7" s="3"/>
      <c r="B7" s="4" t="s">
        <v>11</v>
      </c>
      <c r="C7" s="5"/>
      <c r="D7" s="6"/>
      <c r="E7" s="4" t="s">
        <v>12</v>
      </c>
      <c r="F7" s="5"/>
      <c r="G7" s="6"/>
    </row>
    <row r="8">
      <c r="A8" s="3"/>
      <c r="B8" s="8" t="s">
        <v>13</v>
      </c>
      <c r="C8" s="8" t="s">
        <v>14</v>
      </c>
      <c r="D8" s="8" t="s">
        <v>15</v>
      </c>
      <c r="E8" s="8" t="s">
        <v>13</v>
      </c>
      <c r="F8" s="8" t="s">
        <v>14</v>
      </c>
      <c r="G8" s="8" t="s">
        <v>15</v>
      </c>
    </row>
    <row r="9">
      <c r="A9" s="3"/>
      <c r="B9" s="3"/>
      <c r="C9" s="3"/>
      <c r="D9" s="3"/>
      <c r="E9" s="3"/>
      <c r="F9" s="3"/>
      <c r="G9" s="3"/>
    </row>
    <row r="10">
      <c r="A10" s="4" t="s">
        <v>16</v>
      </c>
      <c r="B10" s="9"/>
      <c r="C10" s="9"/>
      <c r="D10" s="9"/>
      <c r="E10" s="9"/>
      <c r="F10" s="9"/>
      <c r="G10" s="9"/>
    </row>
    <row r="11">
      <c r="A11" s="2" t="s">
        <v>17</v>
      </c>
      <c r="B11" s="10">
        <v>150000.0</v>
      </c>
      <c r="C11" s="10">
        <v>160000.0</v>
      </c>
      <c r="D11" s="11">
        <f t="shared" ref="D11:D18" si="1">C11-B11</f>
        <v>10000</v>
      </c>
      <c r="E11" s="3"/>
      <c r="F11" s="3"/>
      <c r="G11" s="3"/>
    </row>
    <row r="12">
      <c r="A12" s="2" t="s">
        <v>18</v>
      </c>
      <c r="B12" s="2">
        <v>50000.0</v>
      </c>
      <c r="C12" s="10">
        <v>53000.0</v>
      </c>
      <c r="D12" s="11">
        <f t="shared" si="1"/>
        <v>3000</v>
      </c>
      <c r="E12" s="3"/>
      <c r="F12" s="3"/>
      <c r="G12" s="3"/>
    </row>
    <row r="13">
      <c r="A13" s="2" t="s">
        <v>3</v>
      </c>
      <c r="B13" s="10">
        <v>135000.0</v>
      </c>
      <c r="C13" s="10">
        <v>140000.0</v>
      </c>
      <c r="D13" s="11">
        <f t="shared" si="1"/>
        <v>5000</v>
      </c>
      <c r="E13" s="3"/>
      <c r="F13" s="3"/>
      <c r="G13" s="3"/>
    </row>
    <row r="14">
      <c r="A14" s="12" t="s">
        <v>19</v>
      </c>
      <c r="B14" s="2">
        <v>11000.0</v>
      </c>
      <c r="C14" s="2">
        <v>13000.0</v>
      </c>
      <c r="D14" s="3">
        <f t="shared" si="1"/>
        <v>2000</v>
      </c>
      <c r="E14" s="3"/>
      <c r="F14" s="3"/>
      <c r="G14" s="3"/>
    </row>
    <row r="15">
      <c r="A15" s="12" t="s">
        <v>20</v>
      </c>
      <c r="B15" s="3">
        <v>5000.0</v>
      </c>
      <c r="C15" s="2">
        <v>5500.0</v>
      </c>
      <c r="D15" s="3">
        <f t="shared" si="1"/>
        <v>500</v>
      </c>
      <c r="E15" s="3"/>
      <c r="F15" s="3"/>
      <c r="G15" s="3"/>
    </row>
    <row r="16">
      <c r="A16" s="13" t="s">
        <v>21</v>
      </c>
      <c r="B16" s="3">
        <v>5000.0</v>
      </c>
      <c r="C16" s="2">
        <v>5200.0</v>
      </c>
      <c r="D16" s="3">
        <f t="shared" si="1"/>
        <v>200</v>
      </c>
      <c r="E16" s="3"/>
      <c r="F16" s="3"/>
      <c r="G16" s="3"/>
    </row>
    <row r="17">
      <c r="A17" s="12" t="s">
        <v>22</v>
      </c>
      <c r="B17" s="10">
        <v>10000.0</v>
      </c>
      <c r="C17" s="10">
        <v>10500.0</v>
      </c>
      <c r="D17" s="11">
        <f t="shared" si="1"/>
        <v>500</v>
      </c>
      <c r="E17" s="3"/>
      <c r="F17" s="3"/>
      <c r="G17" s="3"/>
    </row>
    <row r="18">
      <c r="A18" s="14" t="s">
        <v>23</v>
      </c>
      <c r="B18" s="11">
        <f t="shared" ref="B18:C18" si="2">SUM(B11:B17)</f>
        <v>366000</v>
      </c>
      <c r="C18" s="11">
        <f t="shared" si="2"/>
        <v>387200</v>
      </c>
      <c r="D18" s="11">
        <f t="shared" si="1"/>
        <v>21200</v>
      </c>
      <c r="E18" s="3"/>
      <c r="F18" s="3"/>
      <c r="G18" s="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E1:G1"/>
    <mergeCell ref="B7:D7"/>
    <mergeCell ref="E7:G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2025-10-30T03:10:20Z</dcterms:created>
  <dc:creator>openpyxl</dc:creator>
</cp:coreProperties>
</file>